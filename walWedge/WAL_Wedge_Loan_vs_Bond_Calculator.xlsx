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jesus/Downloads/"/>
    </mc:Choice>
  </mc:AlternateContent>
  <xr:revisionPtr revIDLastSave="0" documentId="13_ncr:1_{7E20B40A-9F06-C442-BA77-5806A2E68F0C}" xr6:coauthVersionLast="47" xr6:coauthVersionMax="47" xr10:uidLastSave="{00000000-0000-0000-0000-000000000000}"/>
  <bookViews>
    <workbookView xWindow="0" yWindow="760" windowWidth="28480" windowHeight="18240" tabRatio="500" activeTab="1" xr2:uid="{00000000-000D-0000-FFFF-FFFF00000000}"/>
  </bookViews>
  <sheets>
    <sheet name="Instructions &amp; Method" sheetId="1" r:id="rId1"/>
    <sheet name="Inputs" sheetId="2" r:id="rId2"/>
    <sheet name="Results" sheetId="3" r:id="rId3"/>
    <sheet name="Data Sourcing" sheetId="4" r:id="rId4"/>
    <sheet name="Curves" sheetId="5" r:id="rId5"/>
    <sheet name="Calc_Floating" sheetId="6" r:id="rId6"/>
    <sheet name="Calc_Fixe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1" i="7" l="1"/>
  <c r="B91" i="7"/>
  <c r="C90" i="7"/>
  <c r="B90" i="7"/>
  <c r="C89" i="7"/>
  <c r="B89" i="7"/>
  <c r="C88" i="7"/>
  <c r="B88" i="7"/>
  <c r="C87" i="7"/>
  <c r="B87" i="7"/>
  <c r="C86" i="7"/>
  <c r="B86" i="7"/>
  <c r="C85" i="7"/>
  <c r="B85" i="7"/>
  <c r="C84" i="7"/>
  <c r="B84" i="7"/>
  <c r="C83" i="7"/>
  <c r="B83" i="7"/>
  <c r="C82" i="7"/>
  <c r="B82" i="7"/>
  <c r="C81" i="7"/>
  <c r="B81" i="7"/>
  <c r="C80" i="7"/>
  <c r="B80" i="7"/>
  <c r="C79" i="7"/>
  <c r="B79" i="7"/>
  <c r="C78" i="7"/>
  <c r="B78" i="7"/>
  <c r="C77" i="7"/>
  <c r="B77" i="7"/>
  <c r="C76" i="7"/>
  <c r="B76" i="7"/>
  <c r="C75" i="7"/>
  <c r="B75" i="7"/>
  <c r="C74" i="7"/>
  <c r="B74" i="7"/>
  <c r="C73" i="7"/>
  <c r="B73" i="7"/>
  <c r="C72" i="7"/>
  <c r="B72" i="7"/>
  <c r="C71" i="7"/>
  <c r="B71" i="7"/>
  <c r="C70" i="7"/>
  <c r="B70" i="7"/>
  <c r="C69" i="7"/>
  <c r="B69" i="7"/>
  <c r="C68" i="7"/>
  <c r="B68" i="7"/>
  <c r="C67" i="7"/>
  <c r="B67" i="7"/>
  <c r="C66" i="7"/>
  <c r="B66" i="7"/>
  <c r="C65" i="7"/>
  <c r="B65" i="7"/>
  <c r="C64" i="7"/>
  <c r="B64" i="7"/>
  <c r="C63" i="7"/>
  <c r="B63" i="7"/>
  <c r="C62" i="7"/>
  <c r="B62" i="7"/>
  <c r="C61" i="7"/>
  <c r="B61" i="7"/>
  <c r="C60" i="7"/>
  <c r="B60" i="7"/>
  <c r="C59" i="7"/>
  <c r="B59" i="7"/>
  <c r="C58" i="7"/>
  <c r="B58" i="7"/>
  <c r="C57" i="7"/>
  <c r="B57" i="7"/>
  <c r="C56" i="7"/>
  <c r="B56" i="7"/>
  <c r="C55" i="7"/>
  <c r="B55" i="7"/>
  <c r="C54" i="7"/>
  <c r="B54" i="7"/>
  <c r="C53" i="7"/>
  <c r="B53" i="7"/>
  <c r="C52" i="7"/>
  <c r="B52" i="7"/>
  <c r="C51" i="7"/>
  <c r="B51" i="7"/>
  <c r="C50" i="7"/>
  <c r="B50" i="7"/>
  <c r="C49" i="7"/>
  <c r="B49" i="7"/>
  <c r="C48" i="7"/>
  <c r="B48" i="7"/>
  <c r="C47" i="7"/>
  <c r="B47" i="7"/>
  <c r="C46" i="7"/>
  <c r="B46" i="7"/>
  <c r="C45" i="7"/>
  <c r="B45" i="7"/>
  <c r="C44" i="7"/>
  <c r="B44" i="7"/>
  <c r="C43" i="7"/>
  <c r="B43" i="7"/>
  <c r="C42" i="7"/>
  <c r="B42" i="7"/>
  <c r="C41" i="7"/>
  <c r="B41" i="7"/>
  <c r="C40" i="7"/>
  <c r="B40" i="7"/>
  <c r="C39" i="7"/>
  <c r="B39" i="7"/>
  <c r="C38" i="7"/>
  <c r="B38" i="7"/>
  <c r="C37" i="7"/>
  <c r="B37" i="7"/>
  <c r="C36" i="7"/>
  <c r="B36" i="7"/>
  <c r="C35" i="7"/>
  <c r="B35" i="7"/>
  <c r="C34" i="7"/>
  <c r="B34" i="7"/>
  <c r="C33" i="7"/>
  <c r="B33" i="7"/>
  <c r="C32" i="7"/>
  <c r="B32" i="7"/>
  <c r="F31" i="7"/>
  <c r="B31" i="7"/>
  <c r="E8" i="7"/>
  <c r="B8" i="7"/>
  <c r="B7" i="7"/>
  <c r="B4" i="7"/>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S55" i="6"/>
  <c r="AG55" i="6" s="1"/>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S34" i="6"/>
  <c r="AG34" i="6" s="1"/>
  <c r="C34" i="6"/>
  <c r="B34" i="6"/>
  <c r="C33" i="6"/>
  <c r="B33" i="6"/>
  <c r="C32" i="6"/>
  <c r="B32" i="6"/>
  <c r="F31" i="6"/>
  <c r="B31" i="6"/>
  <c r="B10" i="6"/>
  <c r="S42" i="6" s="1"/>
  <c r="AG42" i="6" s="1"/>
  <c r="E8" i="6"/>
  <c r="B8" i="6"/>
  <c r="B7" i="6"/>
  <c r="B4" i="6"/>
  <c r="V65" i="5"/>
  <c r="V64" i="5"/>
  <c r="V63" i="5"/>
  <c r="V62" i="5"/>
  <c r="V61" i="5"/>
  <c r="V60" i="5"/>
  <c r="V59" i="5"/>
  <c r="V58" i="5"/>
  <c r="V57" i="5"/>
  <c r="V56" i="5"/>
  <c r="V55" i="5"/>
  <c r="V54" i="5"/>
  <c r="V53" i="5"/>
  <c r="V52" i="5"/>
  <c r="V51" i="5"/>
  <c r="V50" i="5"/>
  <c r="V49" i="5"/>
  <c r="V48" i="5"/>
  <c r="V47" i="5"/>
  <c r="V46" i="5"/>
  <c r="V45" i="5"/>
  <c r="V44" i="5"/>
  <c r="V43" i="5"/>
  <c r="V42" i="5"/>
  <c r="V41" i="5"/>
  <c r="V40" i="5"/>
  <c r="V39" i="5"/>
  <c r="V38" i="5"/>
  <c r="V37" i="5"/>
  <c r="V36" i="5"/>
  <c r="V35" i="5"/>
  <c r="V34" i="5"/>
  <c r="M34" i="5"/>
  <c r="G34" i="5"/>
  <c r="I34" i="5" s="1"/>
  <c r="D34" i="5"/>
  <c r="B34" i="5"/>
  <c r="V33" i="5"/>
  <c r="M33" i="5"/>
  <c r="G33" i="5"/>
  <c r="B33" i="5"/>
  <c r="V32" i="5"/>
  <c r="M32" i="5"/>
  <c r="G32" i="5"/>
  <c r="B32" i="5"/>
  <c r="V31" i="5"/>
  <c r="M31" i="5"/>
  <c r="G31" i="5"/>
  <c r="B31" i="5"/>
  <c r="V30" i="5"/>
  <c r="M30" i="5"/>
  <c r="G30" i="5"/>
  <c r="B30" i="5"/>
  <c r="V29" i="5"/>
  <c r="N29" i="5"/>
  <c r="N30" i="5" s="1"/>
  <c r="M29" i="5"/>
  <c r="G29" i="5"/>
  <c r="B29" i="5"/>
  <c r="V28" i="5"/>
  <c r="M28" i="5"/>
  <c r="G28" i="5"/>
  <c r="B28" i="5"/>
  <c r="V27" i="5"/>
  <c r="M27" i="5"/>
  <c r="G27" i="5"/>
  <c r="B27" i="5"/>
  <c r="V26" i="5"/>
  <c r="M26" i="5"/>
  <c r="G26" i="5"/>
  <c r="B26" i="5"/>
  <c r="V25" i="5"/>
  <c r="M25" i="5"/>
  <c r="G25" i="5"/>
  <c r="B25" i="5"/>
  <c r="V24" i="5"/>
  <c r="M24" i="5"/>
  <c r="S24" i="5" s="1"/>
  <c r="L24" i="5"/>
  <c r="G24" i="5"/>
  <c r="I24" i="5" s="1"/>
  <c r="I23" i="5" s="1"/>
  <c r="I22" i="5" s="1"/>
  <c r="I21" i="5" s="1"/>
  <c r="I20" i="5" s="1"/>
  <c r="B24" i="5"/>
  <c r="V23" i="5"/>
  <c r="M23" i="5"/>
  <c r="G23" i="5"/>
  <c r="B23" i="5"/>
  <c r="V22" i="5"/>
  <c r="M22" i="5"/>
  <c r="G22" i="5"/>
  <c r="B22" i="5"/>
  <c r="V21" i="5"/>
  <c r="M21" i="5"/>
  <c r="G21" i="5"/>
  <c r="B21" i="5"/>
  <c r="V20" i="5"/>
  <c r="M20" i="5"/>
  <c r="G20" i="5"/>
  <c r="B20" i="5"/>
  <c r="V19" i="5"/>
  <c r="M19" i="5"/>
  <c r="P19" i="5" s="1"/>
  <c r="G19" i="5"/>
  <c r="L19" i="5" s="1"/>
  <c r="B19" i="5"/>
  <c r="V18" i="5"/>
  <c r="M18" i="5"/>
  <c r="G18" i="5"/>
  <c r="B18" i="5"/>
  <c r="V17" i="5"/>
  <c r="M17" i="5"/>
  <c r="G17" i="5"/>
  <c r="B17" i="5"/>
  <c r="V16" i="5"/>
  <c r="N16" i="5"/>
  <c r="M16" i="5"/>
  <c r="G16" i="5"/>
  <c r="B16" i="5"/>
  <c r="V15" i="5"/>
  <c r="M15" i="5"/>
  <c r="G15" i="5"/>
  <c r="B15" i="5"/>
  <c r="V14" i="5"/>
  <c r="M14" i="5"/>
  <c r="S14" i="5" s="1"/>
  <c r="H14" i="5"/>
  <c r="G14" i="5"/>
  <c r="B14" i="5"/>
  <c r="V13" i="5"/>
  <c r="M13" i="5"/>
  <c r="G13" i="5"/>
  <c r="B13" i="5"/>
  <c r="V12" i="5"/>
  <c r="M12" i="5"/>
  <c r="S12" i="5" s="1"/>
  <c r="G12" i="5"/>
  <c r="B12" i="5"/>
  <c r="V11" i="5"/>
  <c r="O11" i="5"/>
  <c r="N11" i="5"/>
  <c r="M11" i="5"/>
  <c r="S11" i="5" s="1"/>
  <c r="G11" i="5"/>
  <c r="H11" i="5" s="1"/>
  <c r="B11" i="5"/>
  <c r="V10" i="5"/>
  <c r="M10" i="5"/>
  <c r="S10" i="5" s="1"/>
  <c r="G10" i="5"/>
  <c r="B10" i="5"/>
  <c r="V9" i="5"/>
  <c r="M9" i="5"/>
  <c r="P9" i="5" s="1"/>
  <c r="G9" i="5"/>
  <c r="L9" i="5" s="1"/>
  <c r="B9" i="5"/>
  <c r="V8" i="5"/>
  <c r="M8" i="5"/>
  <c r="P8" i="5" s="1"/>
  <c r="G8" i="5"/>
  <c r="B8" i="5"/>
  <c r="V7" i="5"/>
  <c r="M7" i="5"/>
  <c r="P7" i="5" s="1"/>
  <c r="G7" i="5"/>
  <c r="H7" i="5" s="1"/>
  <c r="B7" i="5"/>
  <c r="V6" i="5"/>
  <c r="M6" i="5"/>
  <c r="O6" i="5" s="1"/>
  <c r="G6" i="5"/>
  <c r="L6" i="5" s="1"/>
  <c r="B6" i="5"/>
  <c r="V5" i="5"/>
  <c r="M5" i="5"/>
  <c r="G5" i="5"/>
  <c r="J5" i="5" s="1"/>
  <c r="K5" i="5" s="1"/>
  <c r="D32" i="7" s="1"/>
  <c r="H32" i="7" s="1"/>
  <c r="B5" i="5"/>
  <c r="E41" i="3"/>
  <c r="D39" i="3"/>
  <c r="C39" i="3"/>
  <c r="C35" i="3"/>
  <c r="C34" i="3"/>
  <c r="E26" i="3"/>
  <c r="E25" i="3"/>
  <c r="E24" i="3"/>
  <c r="E22" i="3"/>
  <c r="E21" i="3"/>
  <c r="E20" i="3"/>
  <c r="B2" i="3"/>
  <c r="C18" i="2"/>
  <c r="C16" i="2"/>
  <c r="S19" i="5" l="1"/>
  <c r="N14" i="5"/>
  <c r="O14" i="5"/>
  <c r="O13" i="5" s="1"/>
  <c r="P13" i="5" s="1"/>
  <c r="E42" i="5"/>
  <c r="N10" i="5"/>
  <c r="S8" i="5"/>
  <c r="N8" i="5"/>
  <c r="N15" i="5"/>
  <c r="S7" i="5"/>
  <c r="N17" i="5"/>
  <c r="N18" i="5" s="1"/>
  <c r="N6" i="5"/>
  <c r="P6" i="5"/>
  <c r="S6" i="5"/>
  <c r="J24" i="5"/>
  <c r="K24" i="5" s="1"/>
  <c r="D71" i="7" s="1"/>
  <c r="H24" i="5"/>
  <c r="H12" i="5"/>
  <c r="I11" i="5"/>
  <c r="J11" i="5"/>
  <c r="K11" i="5" s="1"/>
  <c r="D45" i="7" s="1"/>
  <c r="L11" i="5"/>
  <c r="I10" i="5"/>
  <c r="I9" i="5"/>
  <c r="J9" i="5"/>
  <c r="K9" i="5" s="1"/>
  <c r="D40" i="7" s="1"/>
  <c r="H8" i="5"/>
  <c r="L8" i="5" s="1"/>
  <c r="I8" i="5"/>
  <c r="L5" i="5"/>
  <c r="J8" i="5"/>
  <c r="K8" i="5" s="1"/>
  <c r="D38" i="7" s="1"/>
  <c r="S9" i="5"/>
  <c r="S34" i="5"/>
  <c r="O34" i="5"/>
  <c r="O33" i="5" s="1"/>
  <c r="O32" i="5" s="1"/>
  <c r="O31" i="5" s="1"/>
  <c r="O30" i="5" s="1"/>
  <c r="O29" i="5" s="1"/>
  <c r="N34" i="5"/>
  <c r="E39" i="5" s="1"/>
  <c r="H9" i="5"/>
  <c r="H10" i="5" s="1"/>
  <c r="P34" i="5"/>
  <c r="E41" i="5"/>
  <c r="N5" i="5"/>
  <c r="N13" i="5"/>
  <c r="H19" i="5"/>
  <c r="H20" i="5" s="1"/>
  <c r="L20" i="5" s="1"/>
  <c r="C5" i="5"/>
  <c r="O5" i="5"/>
  <c r="H6" i="5"/>
  <c r="I7" i="5"/>
  <c r="N12" i="5"/>
  <c r="P14" i="5"/>
  <c r="I19" i="5"/>
  <c r="I18" i="5" s="1"/>
  <c r="I17" i="5" s="1"/>
  <c r="N24" i="5"/>
  <c r="N25" i="5" s="1"/>
  <c r="N26" i="5" s="1"/>
  <c r="P5" i="5"/>
  <c r="Q5" i="5" s="1"/>
  <c r="I6" i="5"/>
  <c r="J7" i="5"/>
  <c r="K7" i="5" s="1"/>
  <c r="D37" i="7" s="1"/>
  <c r="O12" i="5"/>
  <c r="J19" i="5"/>
  <c r="K19" i="5" s="1"/>
  <c r="D60" i="7" s="1"/>
  <c r="O24" i="5"/>
  <c r="O23" i="5" s="1"/>
  <c r="O22" i="5" s="1"/>
  <c r="O21" i="5" s="1"/>
  <c r="O20" i="5" s="1"/>
  <c r="I33" i="5"/>
  <c r="L7" i="5"/>
  <c r="N9" i="5"/>
  <c r="O10" i="5"/>
  <c r="P11" i="5"/>
  <c r="H15" i="5"/>
  <c r="H16" i="5" s="1"/>
  <c r="H17" i="5" s="1"/>
  <c r="H18" i="5" s="1"/>
  <c r="S90" i="6"/>
  <c r="AG90" i="6" s="1"/>
  <c r="S79" i="6"/>
  <c r="AG79" i="6" s="1"/>
  <c r="S77" i="6"/>
  <c r="AG77" i="6" s="1"/>
  <c r="S75" i="6"/>
  <c r="AG75" i="6" s="1"/>
  <c r="S73" i="6"/>
  <c r="AG73" i="6" s="1"/>
  <c r="S71" i="6"/>
  <c r="AG71" i="6" s="1"/>
  <c r="S69" i="6"/>
  <c r="AG69" i="6" s="1"/>
  <c r="S67" i="6"/>
  <c r="AG67" i="6" s="1"/>
  <c r="S65" i="6"/>
  <c r="AG65" i="6" s="1"/>
  <c r="S91" i="6"/>
  <c r="AG91" i="6" s="1"/>
  <c r="S85" i="6"/>
  <c r="AG85" i="6" s="1"/>
  <c r="S84" i="6"/>
  <c r="AG84" i="6" s="1"/>
  <c r="S83" i="6"/>
  <c r="AG83" i="6" s="1"/>
  <c r="S82" i="6"/>
  <c r="AG82" i="6" s="1"/>
  <c r="S78" i="6"/>
  <c r="AG78" i="6" s="1"/>
  <c r="S72" i="6"/>
  <c r="AG72" i="6" s="1"/>
  <c r="S56" i="6"/>
  <c r="AG56" i="6" s="1"/>
  <c r="S53" i="6"/>
  <c r="AG53" i="6" s="1"/>
  <c r="S74" i="6"/>
  <c r="AG74" i="6" s="1"/>
  <c r="S76" i="6"/>
  <c r="AG76" i="6" s="1"/>
  <c r="S61" i="6"/>
  <c r="AG61" i="6" s="1"/>
  <c r="S60" i="6"/>
  <c r="AG60" i="6" s="1"/>
  <c r="S52" i="6"/>
  <c r="AG52" i="6" s="1"/>
  <c r="S49" i="6"/>
  <c r="AG49" i="6" s="1"/>
  <c r="S89" i="6"/>
  <c r="AG89" i="6" s="1"/>
  <c r="S86" i="6"/>
  <c r="AG86" i="6" s="1"/>
  <c r="S87" i="6"/>
  <c r="AG87" i="6" s="1"/>
  <c r="S68" i="6"/>
  <c r="AG68" i="6" s="1"/>
  <c r="S44" i="6"/>
  <c r="AG44" i="6" s="1"/>
  <c r="S43" i="6"/>
  <c r="AG43" i="6" s="1"/>
  <c r="S36" i="6"/>
  <c r="AG36" i="6" s="1"/>
  <c r="S33" i="6"/>
  <c r="AG33" i="6" s="1"/>
  <c r="S32" i="6"/>
  <c r="AG32" i="6" s="1"/>
  <c r="S63" i="6"/>
  <c r="AG63" i="6" s="1"/>
  <c r="S57" i="6"/>
  <c r="AG57" i="6" s="1"/>
  <c r="S39" i="6"/>
  <c r="AG39" i="6" s="1"/>
  <c r="S81" i="6"/>
  <c r="AG81" i="6" s="1"/>
  <c r="S70" i="6"/>
  <c r="AG70" i="6" s="1"/>
  <c r="S58" i="6"/>
  <c r="AG58" i="6" s="1"/>
  <c r="S54" i="6"/>
  <c r="AG54" i="6" s="1"/>
  <c r="S50" i="6"/>
  <c r="AG50" i="6" s="1"/>
  <c r="S45" i="6"/>
  <c r="AG45" i="6" s="1"/>
  <c r="S38" i="6"/>
  <c r="AG38" i="6" s="1"/>
  <c r="S35" i="6"/>
  <c r="AG35" i="6" s="1"/>
  <c r="S64" i="6"/>
  <c r="AG64" i="6" s="1"/>
  <c r="S46" i="6"/>
  <c r="AG46" i="6" s="1"/>
  <c r="S88" i="6"/>
  <c r="AG88" i="6" s="1"/>
  <c r="S80" i="6"/>
  <c r="AG80" i="6" s="1"/>
  <c r="S66" i="6"/>
  <c r="AG66" i="6" s="1"/>
  <c r="S62" i="6"/>
  <c r="AG62" i="6" s="1"/>
  <c r="S59" i="6"/>
  <c r="AG59" i="6" s="1"/>
  <c r="S47" i="6"/>
  <c r="AG47" i="6" s="1"/>
  <c r="S41" i="6"/>
  <c r="AG41" i="6" s="1"/>
  <c r="S40" i="6"/>
  <c r="AG40" i="6" s="1"/>
  <c r="S37" i="6"/>
  <c r="AG37" i="6" s="1"/>
  <c r="S48" i="6"/>
  <c r="AG48" i="6" s="1"/>
  <c r="E40" i="5"/>
  <c r="C53" i="3" s="1"/>
  <c r="P10" i="5"/>
  <c r="J6" i="5"/>
  <c r="P12" i="5"/>
  <c r="P24" i="5"/>
  <c r="O9" i="5"/>
  <c r="H5" i="5"/>
  <c r="N7" i="5"/>
  <c r="O8" i="5"/>
  <c r="H13" i="5"/>
  <c r="J13" i="5" s="1"/>
  <c r="K13" i="5" s="1"/>
  <c r="I14" i="5"/>
  <c r="L14" i="5" s="1"/>
  <c r="N19" i="5"/>
  <c r="N20" i="5" s="1"/>
  <c r="H25" i="5"/>
  <c r="N31" i="5"/>
  <c r="N32" i="5" s="1"/>
  <c r="S51" i="6"/>
  <c r="AG51" i="6" s="1"/>
  <c r="S5" i="5"/>
  <c r="I5" i="5"/>
  <c r="O7" i="5"/>
  <c r="I13" i="5"/>
  <c r="I12" i="5" s="1"/>
  <c r="O19" i="5"/>
  <c r="O18" i="5" s="1"/>
  <c r="O17" i="5" s="1"/>
  <c r="O16" i="5" s="1"/>
  <c r="O15" i="5" s="1"/>
  <c r="I32" i="5"/>
  <c r="I31" i="5" s="1"/>
  <c r="I30" i="5" s="1"/>
  <c r="I29" i="5" s="1"/>
  <c r="I28" i="5" s="1"/>
  <c r="I27" i="5" s="1"/>
  <c r="I26" i="5" s="1"/>
  <c r="I25" i="5" s="1"/>
  <c r="D33" i="5"/>
  <c r="D32" i="5" s="1"/>
  <c r="D31" i="5" s="1"/>
  <c r="D30" i="5" s="1"/>
  <c r="D29" i="5" s="1"/>
  <c r="D28" i="5" s="1"/>
  <c r="D27" i="5" s="1"/>
  <c r="D26" i="5" s="1"/>
  <c r="B9" i="6"/>
  <c r="R58" i="6" s="1"/>
  <c r="D33" i="7"/>
  <c r="B10" i="7"/>
  <c r="B9" i="7"/>
  <c r="R44" i="7" s="1"/>
  <c r="D70" i="7"/>
  <c r="R71" i="6" l="1"/>
  <c r="R65" i="7"/>
  <c r="R45" i="6"/>
  <c r="R48" i="6"/>
  <c r="R46" i="6"/>
  <c r="R90" i="6"/>
  <c r="R85" i="6"/>
  <c r="R68" i="6"/>
  <c r="R59" i="6"/>
  <c r="R60" i="6"/>
  <c r="R61" i="6"/>
  <c r="R49" i="6"/>
  <c r="R69" i="6"/>
  <c r="R70" i="7"/>
  <c r="R39" i="6"/>
  <c r="R51" i="7"/>
  <c r="R81" i="6"/>
  <c r="R86" i="6"/>
  <c r="R76" i="6"/>
  <c r="R87" i="6"/>
  <c r="R53" i="6"/>
  <c r="R91" i="6"/>
  <c r="R56" i="6"/>
  <c r="R38" i="6"/>
  <c r="R46" i="7"/>
  <c r="R50" i="7"/>
  <c r="R85" i="7"/>
  <c r="R35" i="6"/>
  <c r="R62" i="7"/>
  <c r="R88" i="6"/>
  <c r="C6" i="5"/>
  <c r="R63" i="6"/>
  <c r="R69" i="7"/>
  <c r="R84" i="7"/>
  <c r="R58" i="7"/>
  <c r="R88" i="7"/>
  <c r="R33" i="7"/>
  <c r="R68" i="7"/>
  <c r="R59" i="7"/>
  <c r="R40" i="6"/>
  <c r="R43" i="6"/>
  <c r="R89" i="6"/>
  <c r="P29" i="5"/>
  <c r="S29" i="5"/>
  <c r="O28" i="5"/>
  <c r="O27" i="5" s="1"/>
  <c r="O26" i="5" s="1"/>
  <c r="O25" i="5" s="1"/>
  <c r="P26" i="5"/>
  <c r="P20" i="5"/>
  <c r="D53" i="3"/>
  <c r="P15" i="5"/>
  <c r="P16" i="5"/>
  <c r="S16" i="5"/>
  <c r="S13" i="5"/>
  <c r="S15" i="5"/>
  <c r="S17" i="5"/>
  <c r="D44" i="7"/>
  <c r="J14" i="5"/>
  <c r="K14" i="5" s="1"/>
  <c r="D36" i="7"/>
  <c r="D39" i="7"/>
  <c r="D41" i="7"/>
  <c r="J25" i="5"/>
  <c r="K25" i="5" s="1"/>
  <c r="D73" i="7" s="1"/>
  <c r="D61" i="7"/>
  <c r="H21" i="5"/>
  <c r="J21" i="5" s="1"/>
  <c r="K21" i="5" s="1"/>
  <c r="L12" i="5"/>
  <c r="J12" i="5"/>
  <c r="K12" i="5" s="1"/>
  <c r="P30" i="5"/>
  <c r="S30" i="5"/>
  <c r="I16" i="5"/>
  <c r="L16" i="5" s="1"/>
  <c r="L17" i="5"/>
  <c r="N33" i="5"/>
  <c r="P32" i="5"/>
  <c r="S32" i="5"/>
  <c r="D49" i="7"/>
  <c r="D48" i="7"/>
  <c r="J18" i="5"/>
  <c r="K18" i="5" s="1"/>
  <c r="L18" i="5"/>
  <c r="D25" i="5"/>
  <c r="D24" i="5" s="1"/>
  <c r="D23" i="5" s="1"/>
  <c r="D22" i="5" s="1"/>
  <c r="D21" i="5" s="1"/>
  <c r="D20" i="5" s="1"/>
  <c r="D19" i="5" s="1"/>
  <c r="D18" i="5" s="1"/>
  <c r="D17" i="5" s="1"/>
  <c r="D16" i="5" s="1"/>
  <c r="D15" i="5" s="1"/>
  <c r="D14" i="5" s="1"/>
  <c r="D13" i="5" s="1"/>
  <c r="D12" i="5" s="1"/>
  <c r="D11" i="5" s="1"/>
  <c r="D10" i="5" s="1"/>
  <c r="D9" i="5" s="1"/>
  <c r="D8" i="5" s="1"/>
  <c r="D7" i="5" s="1"/>
  <c r="D6" i="5" s="1"/>
  <c r="D5" i="5" s="1"/>
  <c r="F5" i="5" s="1"/>
  <c r="J17" i="5"/>
  <c r="K17" i="5" s="1"/>
  <c r="P17" i="5"/>
  <c r="S26" i="5"/>
  <c r="K6" i="5"/>
  <c r="Q90" i="7"/>
  <c r="AD90" i="7" s="1"/>
  <c r="Q91" i="7"/>
  <c r="AD91" i="7" s="1"/>
  <c r="Q88" i="7"/>
  <c r="AD88" i="7" s="1"/>
  <c r="Q89" i="7"/>
  <c r="AD89" i="7" s="1"/>
  <c r="Q77" i="7"/>
  <c r="AD77" i="7" s="1"/>
  <c r="Q67" i="7"/>
  <c r="AD67" i="7" s="1"/>
  <c r="Q86" i="7"/>
  <c r="AD86" i="7" s="1"/>
  <c r="Q87" i="7"/>
  <c r="AD87" i="7" s="1"/>
  <c r="Q75" i="7"/>
  <c r="AD75" i="7" s="1"/>
  <c r="Q63" i="7"/>
  <c r="AD63" i="7" s="1"/>
  <c r="Q84" i="7"/>
  <c r="AD84" i="7" s="1"/>
  <c r="Q72" i="7"/>
  <c r="AD72" i="7" s="1"/>
  <c r="Q62" i="7"/>
  <c r="AD62" i="7" s="1"/>
  <c r="Q85" i="7"/>
  <c r="AD85" i="7" s="1"/>
  <c r="Q82" i="7"/>
  <c r="AD82" i="7" s="1"/>
  <c r="Q70" i="7"/>
  <c r="AD70" i="7" s="1"/>
  <c r="Q58" i="7"/>
  <c r="AD58" i="7" s="1"/>
  <c r="Q74" i="7"/>
  <c r="AD74" i="7" s="1"/>
  <c r="Q57" i="7"/>
  <c r="AD57" i="7" s="1"/>
  <c r="Q83" i="7"/>
  <c r="AD83" i="7" s="1"/>
  <c r="Q52" i="7"/>
  <c r="AD52" i="7" s="1"/>
  <c r="Q78" i="7"/>
  <c r="AD78" i="7" s="1"/>
  <c r="Q80" i="7"/>
  <c r="AD80" i="7" s="1"/>
  <c r="Q65" i="7"/>
  <c r="AD65" i="7" s="1"/>
  <c r="Q47" i="7"/>
  <c r="AD47" i="7" s="1"/>
  <c r="Q81" i="7"/>
  <c r="AD81" i="7" s="1"/>
  <c r="Q76" i="7"/>
  <c r="AD76" i="7" s="1"/>
  <c r="Q64" i="7"/>
  <c r="AD64" i="7" s="1"/>
  <c r="Q44" i="7"/>
  <c r="AD44" i="7" s="1"/>
  <c r="Q61" i="7"/>
  <c r="AD61" i="7" s="1"/>
  <c r="Q73" i="7"/>
  <c r="AD73" i="7" s="1"/>
  <c r="Q71" i="7"/>
  <c r="AD71" i="7" s="1"/>
  <c r="Q59" i="7"/>
  <c r="AD59" i="7" s="1"/>
  <c r="Q55" i="7"/>
  <c r="AD55" i="7" s="1"/>
  <c r="Q51" i="7"/>
  <c r="AD51" i="7" s="1"/>
  <c r="Q46" i="7"/>
  <c r="AD46" i="7" s="1"/>
  <c r="Q37" i="7"/>
  <c r="AD37" i="7" s="1"/>
  <c r="Q40" i="7"/>
  <c r="AD40" i="7" s="1"/>
  <c r="Q79" i="7"/>
  <c r="AD79" i="7" s="1"/>
  <c r="Q68" i="7"/>
  <c r="AD68" i="7" s="1"/>
  <c r="Q36" i="7"/>
  <c r="AD36" i="7" s="1"/>
  <c r="Q54" i="7"/>
  <c r="AD54" i="7" s="1"/>
  <c r="Q42" i="7"/>
  <c r="AD42" i="7" s="1"/>
  <c r="Q49" i="7"/>
  <c r="AD49" i="7" s="1"/>
  <c r="Q41" i="7"/>
  <c r="AD41" i="7" s="1"/>
  <c r="Q39" i="7"/>
  <c r="AD39" i="7" s="1"/>
  <c r="Q33" i="7"/>
  <c r="AD33" i="7" s="1"/>
  <c r="Q56" i="7"/>
  <c r="AD56" i="7" s="1"/>
  <c r="Q69" i="7"/>
  <c r="AD69" i="7" s="1"/>
  <c r="Q50" i="7"/>
  <c r="AD50" i="7" s="1"/>
  <c r="Q38" i="7"/>
  <c r="AD38" i="7" s="1"/>
  <c r="Q32" i="7"/>
  <c r="AD32" i="7" s="1"/>
  <c r="Q53" i="7"/>
  <c r="AD53" i="7" s="1"/>
  <c r="Q45" i="7"/>
  <c r="AD45" i="7" s="1"/>
  <c r="Q34" i="7"/>
  <c r="AD34" i="7" s="1"/>
  <c r="E26" i="7"/>
  <c r="Q60" i="7"/>
  <c r="AD60" i="7" s="1"/>
  <c r="R35" i="7"/>
  <c r="R34" i="7"/>
  <c r="Q48" i="7"/>
  <c r="AD48" i="7" s="1"/>
  <c r="Q35" i="7"/>
  <c r="AD35" i="7" s="1"/>
  <c r="Q66" i="7"/>
  <c r="AD66" i="7" s="1"/>
  <c r="Q43" i="7"/>
  <c r="AD43" i="7" s="1"/>
  <c r="R37" i="7"/>
  <c r="R53" i="7"/>
  <c r="R63" i="7"/>
  <c r="R48" i="7"/>
  <c r="R72" i="7"/>
  <c r="S18" i="5"/>
  <c r="P18" i="5"/>
  <c r="R55" i="7"/>
  <c r="R39" i="7"/>
  <c r="R77" i="7"/>
  <c r="R56" i="7"/>
  <c r="R87" i="7"/>
  <c r="Q91" i="6"/>
  <c r="AD91" i="6" s="1"/>
  <c r="Q89" i="6"/>
  <c r="AD89" i="6" s="1"/>
  <c r="Q87" i="6"/>
  <c r="AD87" i="6" s="1"/>
  <c r="Q86" i="6"/>
  <c r="AD86" i="6" s="1"/>
  <c r="Q79" i="6"/>
  <c r="AD79" i="6" s="1"/>
  <c r="Q85" i="6"/>
  <c r="AD85" i="6" s="1"/>
  <c r="Q84" i="6"/>
  <c r="AD84" i="6" s="1"/>
  <c r="Q88" i="6"/>
  <c r="AD88" i="6" s="1"/>
  <c r="Q69" i="6"/>
  <c r="AD69" i="6" s="1"/>
  <c r="Q68" i="6"/>
  <c r="AD68" i="6" s="1"/>
  <c r="Q63" i="6"/>
  <c r="AD63" i="6" s="1"/>
  <c r="Q57" i="6"/>
  <c r="AD57" i="6" s="1"/>
  <c r="Q83" i="6"/>
  <c r="AD83" i="6" s="1"/>
  <c r="Q71" i="6"/>
  <c r="AD71" i="6" s="1"/>
  <c r="Q70" i="6"/>
  <c r="AD70" i="6" s="1"/>
  <c r="Q62" i="6"/>
  <c r="AD62" i="6" s="1"/>
  <c r="Q46" i="6"/>
  <c r="AD46" i="6" s="1"/>
  <c r="Q73" i="6"/>
  <c r="AD73" i="6" s="1"/>
  <c r="Q72" i="6"/>
  <c r="AD72" i="6" s="1"/>
  <c r="Q56" i="6"/>
  <c r="AD56" i="6" s="1"/>
  <c r="Q53" i="6"/>
  <c r="AD53" i="6" s="1"/>
  <c r="Q75" i="6"/>
  <c r="AD75" i="6" s="1"/>
  <c r="Q74" i="6"/>
  <c r="AD74" i="6" s="1"/>
  <c r="Q77" i="6"/>
  <c r="AD77" i="6" s="1"/>
  <c r="Q76" i="6"/>
  <c r="AD76" i="6" s="1"/>
  <c r="Q80" i="6"/>
  <c r="AD80" i="6" s="1"/>
  <c r="Q78" i="6"/>
  <c r="AD78" i="6" s="1"/>
  <c r="Q47" i="6"/>
  <c r="AD47" i="6" s="1"/>
  <c r="Q41" i="6"/>
  <c r="AD41" i="6" s="1"/>
  <c r="Q37" i="6"/>
  <c r="AD37" i="6" s="1"/>
  <c r="Q48" i="6"/>
  <c r="AD48" i="6" s="1"/>
  <c r="Q43" i="6"/>
  <c r="AD43" i="6" s="1"/>
  <c r="Q36" i="6"/>
  <c r="AD36" i="6" s="1"/>
  <c r="Q65" i="6"/>
  <c r="AD65" i="6" s="1"/>
  <c r="Q44" i="6"/>
  <c r="AD44" i="6" s="1"/>
  <c r="Q33" i="6"/>
  <c r="AD33" i="6" s="1"/>
  <c r="Q60" i="6"/>
  <c r="AD60" i="6" s="1"/>
  <c r="Q49" i="6"/>
  <c r="AD49" i="6" s="1"/>
  <c r="Q32" i="6"/>
  <c r="AD32" i="6" s="1"/>
  <c r="Q81" i="6"/>
  <c r="AD81" i="6" s="1"/>
  <c r="Q39" i="6"/>
  <c r="AD39" i="6" s="1"/>
  <c r="Q61" i="6"/>
  <c r="AD61" i="6" s="1"/>
  <c r="Q58" i="6"/>
  <c r="AD58" i="6" s="1"/>
  <c r="Q54" i="6"/>
  <c r="AD54" i="6" s="1"/>
  <c r="Q50" i="6"/>
  <c r="AD50" i="6" s="1"/>
  <c r="Q45" i="6"/>
  <c r="AD45" i="6" s="1"/>
  <c r="Q38" i="6"/>
  <c r="AD38" i="6" s="1"/>
  <c r="Q90" i="6"/>
  <c r="AD90" i="6" s="1"/>
  <c r="Q55" i="6"/>
  <c r="AD55" i="6" s="1"/>
  <c r="R52" i="6"/>
  <c r="Q51" i="6"/>
  <c r="AD51" i="6" s="1"/>
  <c r="Q42" i="6"/>
  <c r="AD42" i="6" s="1"/>
  <c r="Q82" i="6"/>
  <c r="AD82" i="6" s="1"/>
  <c r="Q67" i="6"/>
  <c r="AD67" i="6" s="1"/>
  <c r="Q66" i="6"/>
  <c r="AD66" i="6" s="1"/>
  <c r="Q59" i="6"/>
  <c r="AD59" i="6" s="1"/>
  <c r="Q52" i="6"/>
  <c r="AD52" i="6" s="1"/>
  <c r="R47" i="6"/>
  <c r="R41" i="6"/>
  <c r="Q40" i="6"/>
  <c r="AD40" i="6" s="1"/>
  <c r="R37" i="6"/>
  <c r="R55" i="6"/>
  <c r="Q35" i="6"/>
  <c r="AD35" i="6" s="1"/>
  <c r="R51" i="6"/>
  <c r="R64" i="6"/>
  <c r="E26" i="6"/>
  <c r="Q64" i="6"/>
  <c r="AD64" i="6" s="1"/>
  <c r="Q34" i="6"/>
  <c r="AD34" i="6" s="1"/>
  <c r="R42" i="6"/>
  <c r="R62" i="6"/>
  <c r="R65" i="6"/>
  <c r="L10" i="5"/>
  <c r="J10" i="5"/>
  <c r="K10" i="5" s="1"/>
  <c r="N27" i="5"/>
  <c r="R67" i="7"/>
  <c r="R41" i="7"/>
  <c r="R45" i="7"/>
  <c r="R61" i="7"/>
  <c r="R66" i="7"/>
  <c r="R74" i="6"/>
  <c r="R70" i="6"/>
  <c r="R67" i="6"/>
  <c r="R60" i="7"/>
  <c r="R49" i="7"/>
  <c r="R76" i="7"/>
  <c r="R64" i="7"/>
  <c r="R74" i="7"/>
  <c r="S31" i="5"/>
  <c r="S20" i="5"/>
  <c r="R44" i="6"/>
  <c r="R57" i="6"/>
  <c r="R72" i="6"/>
  <c r="R78" i="6"/>
  <c r="R73" i="6"/>
  <c r="R54" i="6"/>
  <c r="P25" i="5"/>
  <c r="P31" i="5"/>
  <c r="R80" i="7"/>
  <c r="R57" i="7"/>
  <c r="R81" i="7"/>
  <c r="R79" i="7"/>
  <c r="R86" i="7"/>
  <c r="R5" i="5"/>
  <c r="W6" i="5"/>
  <c r="W7" i="5"/>
  <c r="S90" i="7"/>
  <c r="AG90" i="7" s="1"/>
  <c r="S88" i="7"/>
  <c r="AG88" i="7" s="1"/>
  <c r="S86" i="7"/>
  <c r="AG86" i="7" s="1"/>
  <c r="S84" i="7"/>
  <c r="AG84" i="7" s="1"/>
  <c r="S82" i="7"/>
  <c r="AG82" i="7" s="1"/>
  <c r="S80" i="7"/>
  <c r="AG80" i="7" s="1"/>
  <c r="S78" i="7"/>
  <c r="AG78" i="7" s="1"/>
  <c r="S76" i="7"/>
  <c r="AG76" i="7" s="1"/>
  <c r="S74" i="7"/>
  <c r="AG74" i="7" s="1"/>
  <c r="S72" i="7"/>
  <c r="AG72" i="7" s="1"/>
  <c r="S70" i="7"/>
  <c r="AG70" i="7" s="1"/>
  <c r="S68" i="7"/>
  <c r="AG68" i="7" s="1"/>
  <c r="S66" i="7"/>
  <c r="AG66" i="7" s="1"/>
  <c r="S64" i="7"/>
  <c r="AG64" i="7" s="1"/>
  <c r="S62" i="7"/>
  <c r="AG62" i="7" s="1"/>
  <c r="S60" i="7"/>
  <c r="AG60" i="7" s="1"/>
  <c r="S58" i="7"/>
  <c r="AG58" i="7" s="1"/>
  <c r="S91" i="7"/>
  <c r="AG91" i="7" s="1"/>
  <c r="S89" i="7"/>
  <c r="AG89" i="7" s="1"/>
  <c r="S87" i="7"/>
  <c r="AG87" i="7" s="1"/>
  <c r="S75" i="7"/>
  <c r="AG75" i="7" s="1"/>
  <c r="S63" i="7"/>
  <c r="AG63" i="7" s="1"/>
  <c r="S85" i="7"/>
  <c r="AG85" i="7" s="1"/>
  <c r="S73" i="7"/>
  <c r="AG73" i="7" s="1"/>
  <c r="S59" i="7"/>
  <c r="AG59" i="7" s="1"/>
  <c r="S56" i="7"/>
  <c r="AG56" i="7" s="1"/>
  <c r="S54" i="7"/>
  <c r="AG54" i="7" s="1"/>
  <c r="S52" i="7"/>
  <c r="AG52" i="7" s="1"/>
  <c r="S83" i="7"/>
  <c r="AG83" i="7" s="1"/>
  <c r="S65" i="7"/>
  <c r="AG65" i="7" s="1"/>
  <c r="S79" i="7"/>
  <c r="AG79" i="7" s="1"/>
  <c r="S81" i="7"/>
  <c r="AG81" i="7" s="1"/>
  <c r="S53" i="7"/>
  <c r="AG53" i="7" s="1"/>
  <c r="S71" i="7"/>
  <c r="AG71" i="7" s="1"/>
  <c r="S69" i="7"/>
  <c r="AG69" i="7" s="1"/>
  <c r="S61" i="7"/>
  <c r="AG61" i="7" s="1"/>
  <c r="S77" i="7"/>
  <c r="AG77" i="7" s="1"/>
  <c r="S40" i="7"/>
  <c r="AG40" i="7" s="1"/>
  <c r="S36" i="7"/>
  <c r="AG36" i="7" s="1"/>
  <c r="S57" i="7"/>
  <c r="AG57" i="7" s="1"/>
  <c r="S49" i="7"/>
  <c r="AG49" i="7" s="1"/>
  <c r="S42" i="7"/>
  <c r="AG42" i="7" s="1"/>
  <c r="S41" i="7"/>
  <c r="AG41" i="7" s="1"/>
  <c r="S39" i="7"/>
  <c r="AG39" i="7" s="1"/>
  <c r="S33" i="7"/>
  <c r="AG33" i="7" s="1"/>
  <c r="S38" i="7"/>
  <c r="AG38" i="7" s="1"/>
  <c r="S32" i="7"/>
  <c r="S50" i="7"/>
  <c r="AG50" i="7" s="1"/>
  <c r="S47" i="7"/>
  <c r="AG47" i="7" s="1"/>
  <c r="S43" i="7"/>
  <c r="AG43" i="7" s="1"/>
  <c r="S44" i="7"/>
  <c r="AG44" i="7" s="1"/>
  <c r="S35" i="7"/>
  <c r="AG35" i="7" s="1"/>
  <c r="S67" i="7"/>
  <c r="AG67" i="7" s="1"/>
  <c r="S55" i="7"/>
  <c r="AG55" i="7" s="1"/>
  <c r="S51" i="7"/>
  <c r="AG51" i="7" s="1"/>
  <c r="S37" i="7"/>
  <c r="AG37" i="7" s="1"/>
  <c r="S45" i="7"/>
  <c r="AG45" i="7" s="1"/>
  <c r="S34" i="7"/>
  <c r="AG34" i="7" s="1"/>
  <c r="S48" i="7"/>
  <c r="AG48" i="7" s="1"/>
  <c r="S46" i="7"/>
  <c r="AG46" i="7" s="1"/>
  <c r="R32" i="6"/>
  <c r="R82" i="6"/>
  <c r="R75" i="6"/>
  <c r="L13" i="5"/>
  <c r="R43" i="7"/>
  <c r="R75" i="7"/>
  <c r="R71" i="7"/>
  <c r="R89" i="7"/>
  <c r="R47" i="7"/>
  <c r="R52" i="7"/>
  <c r="R78" i="7"/>
  <c r="R83" i="7"/>
  <c r="S25" i="5"/>
  <c r="J20" i="5"/>
  <c r="K20" i="5" s="1"/>
  <c r="R80" i="6"/>
  <c r="R32" i="7"/>
  <c r="R54" i="7"/>
  <c r="R40" i="7"/>
  <c r="R82" i="7"/>
  <c r="R91" i="7"/>
  <c r="R34" i="6"/>
  <c r="R83" i="6"/>
  <c r="R77" i="6"/>
  <c r="R50" i="6"/>
  <c r="R38" i="7"/>
  <c r="R36" i="7"/>
  <c r="R42" i="7"/>
  <c r="R73" i="7"/>
  <c r="R90" i="7"/>
  <c r="R33" i="6"/>
  <c r="R36" i="6"/>
  <c r="R84" i="6"/>
  <c r="R79" i="6"/>
  <c r="R66" i="6"/>
  <c r="H26" i="5"/>
  <c r="L25" i="5"/>
  <c r="N21" i="5"/>
  <c r="T32" i="6"/>
  <c r="F6" i="5" l="1"/>
  <c r="E6" i="5"/>
  <c r="C7" i="5"/>
  <c r="E5" i="5"/>
  <c r="E24" i="6"/>
  <c r="D51" i="7"/>
  <c r="D50" i="7"/>
  <c r="H22" i="5"/>
  <c r="H23" i="5" s="1"/>
  <c r="L21" i="5"/>
  <c r="D72" i="7"/>
  <c r="S27" i="5"/>
  <c r="P27" i="5"/>
  <c r="N28" i="5"/>
  <c r="D63" i="7"/>
  <c r="D62" i="7"/>
  <c r="D43" i="7"/>
  <c r="D42" i="7"/>
  <c r="E4" i="6"/>
  <c r="D35" i="7"/>
  <c r="D34" i="7"/>
  <c r="D58" i="7"/>
  <c r="D59" i="7"/>
  <c r="P33" i="5"/>
  <c r="S33" i="5"/>
  <c r="L22" i="5"/>
  <c r="J22" i="5"/>
  <c r="K22" i="5" s="1"/>
  <c r="J26" i="5"/>
  <c r="K26" i="5" s="1"/>
  <c r="L26" i="5"/>
  <c r="H27" i="5"/>
  <c r="D64" i="7"/>
  <c r="D65" i="7"/>
  <c r="N22" i="5"/>
  <c r="P21" i="5"/>
  <c r="S21" i="5"/>
  <c r="J16" i="5"/>
  <c r="K16" i="5" s="1"/>
  <c r="I15" i="5"/>
  <c r="D56" i="7"/>
  <c r="D57" i="7"/>
  <c r="D50" i="3"/>
  <c r="D7" i="3"/>
  <c r="AG32" i="7"/>
  <c r="E24" i="7" s="1"/>
  <c r="T32" i="7"/>
  <c r="F33" i="7"/>
  <c r="F33" i="6"/>
  <c r="F32" i="7"/>
  <c r="F32" i="6"/>
  <c r="Y6" i="5"/>
  <c r="Y7" i="5" s="1"/>
  <c r="Z7" i="5" s="1"/>
  <c r="X6" i="5"/>
  <c r="X7" i="5"/>
  <c r="D47" i="7"/>
  <c r="D46" i="7"/>
  <c r="Q6" i="5"/>
  <c r="R6" i="5" s="1"/>
  <c r="C50" i="3"/>
  <c r="C7" i="3"/>
  <c r="E4" i="7"/>
  <c r="D32" i="6" l="1"/>
  <c r="H32" i="6" s="1"/>
  <c r="K32" i="6" s="1"/>
  <c r="D33" i="6"/>
  <c r="F7" i="5"/>
  <c r="C8" i="5"/>
  <c r="E7" i="5"/>
  <c r="D35" i="6"/>
  <c r="D34" i="6"/>
  <c r="Q7" i="5"/>
  <c r="R7" i="5" s="1"/>
  <c r="L23" i="5"/>
  <c r="J23" i="5"/>
  <c r="K23" i="5" s="1"/>
  <c r="D67" i="7"/>
  <c r="D66" i="7"/>
  <c r="I32" i="7"/>
  <c r="J32" i="7"/>
  <c r="K32" i="7"/>
  <c r="N23" i="5"/>
  <c r="P22" i="5"/>
  <c r="S22" i="5"/>
  <c r="L27" i="5"/>
  <c r="H28" i="5"/>
  <c r="J27" i="5"/>
  <c r="K27" i="5" s="1"/>
  <c r="J15" i="5"/>
  <c r="L15" i="5"/>
  <c r="G32" i="7"/>
  <c r="X32" i="7" s="1"/>
  <c r="G32" i="6"/>
  <c r="X32" i="6" s="1"/>
  <c r="D54" i="7"/>
  <c r="D55" i="7"/>
  <c r="AA88" i="6"/>
  <c r="AE88" i="6" s="1"/>
  <c r="AA89" i="6"/>
  <c r="AE89" i="6" s="1"/>
  <c r="AA79" i="6"/>
  <c r="AE79" i="6" s="1"/>
  <c r="AA83" i="6"/>
  <c r="AE83" i="6" s="1"/>
  <c r="AA85" i="6"/>
  <c r="AE85" i="6" s="1"/>
  <c r="AA50" i="6"/>
  <c r="AE50" i="6" s="1"/>
  <c r="AA67" i="6"/>
  <c r="AE67" i="6" s="1"/>
  <c r="AA69" i="6"/>
  <c r="AE69" i="6" s="1"/>
  <c r="AA71" i="6"/>
  <c r="AE71" i="6" s="1"/>
  <c r="AA70" i="6"/>
  <c r="AE70" i="6" s="1"/>
  <c r="AA77" i="6"/>
  <c r="AE77" i="6" s="1"/>
  <c r="AA45" i="6"/>
  <c r="AE45" i="6" s="1"/>
  <c r="AA61" i="6"/>
  <c r="AE61" i="6" s="1"/>
  <c r="AA76" i="6"/>
  <c r="AE76" i="6" s="1"/>
  <c r="AA72" i="6"/>
  <c r="AE72" i="6" s="1"/>
  <c r="AA62" i="6"/>
  <c r="AE62" i="6" s="1"/>
  <c r="AA36" i="6"/>
  <c r="AE36" i="6" s="1"/>
  <c r="AA33" i="6"/>
  <c r="AE33" i="6" s="1"/>
  <c r="AA91" i="6"/>
  <c r="AE91" i="6" s="1"/>
  <c r="AA73" i="6"/>
  <c r="AE73" i="6" s="1"/>
  <c r="AA59" i="6"/>
  <c r="AE59" i="6" s="1"/>
  <c r="AA78" i="6"/>
  <c r="AE78" i="6" s="1"/>
  <c r="AA74" i="6"/>
  <c r="AE74" i="6" s="1"/>
  <c r="AA60" i="6"/>
  <c r="AE60" i="6" s="1"/>
  <c r="AA35" i="6"/>
  <c r="AE35" i="6" s="1"/>
  <c r="AA75" i="6"/>
  <c r="AE75" i="6" s="1"/>
  <c r="AA46" i="6"/>
  <c r="AE46" i="6" s="1"/>
  <c r="AA63" i="6"/>
  <c r="AE63" i="6" s="1"/>
  <c r="AA53" i="6"/>
  <c r="AE53" i="6" s="1"/>
  <c r="C45" i="3"/>
  <c r="AA39" i="6"/>
  <c r="AE39" i="6" s="1"/>
  <c r="AA65" i="6"/>
  <c r="AE65" i="6" s="1"/>
  <c r="AA44" i="6"/>
  <c r="AE44" i="6" s="1"/>
  <c r="AA49" i="6"/>
  <c r="AE49" i="6" s="1"/>
  <c r="C8" i="3"/>
  <c r="AA57" i="6"/>
  <c r="AE57" i="6" s="1"/>
  <c r="AA48" i="6"/>
  <c r="AE48" i="6" s="1"/>
  <c r="AA38" i="6"/>
  <c r="AE38" i="6" s="1"/>
  <c r="AA43" i="6"/>
  <c r="AE43" i="6" s="1"/>
  <c r="AA40" i="6"/>
  <c r="AE40" i="6" s="1"/>
  <c r="AA54" i="6"/>
  <c r="AE54" i="6" s="1"/>
  <c r="AA82" i="6"/>
  <c r="AE82" i="6" s="1"/>
  <c r="AA58" i="6"/>
  <c r="AE58" i="6" s="1"/>
  <c r="AA55" i="6"/>
  <c r="AE55" i="6" s="1"/>
  <c r="AA87" i="6"/>
  <c r="AE87" i="6" s="1"/>
  <c r="AA84" i="6"/>
  <c r="AE84" i="6" s="1"/>
  <c r="AA52" i="6"/>
  <c r="AE52" i="6" s="1"/>
  <c r="AA51" i="6"/>
  <c r="AE51" i="6" s="1"/>
  <c r="AA47" i="6"/>
  <c r="AE47" i="6" s="1"/>
  <c r="AA42" i="6"/>
  <c r="AE42" i="6" s="1"/>
  <c r="AA80" i="6"/>
  <c r="AE80" i="6" s="1"/>
  <c r="AA90" i="6"/>
  <c r="AE90" i="6" s="1"/>
  <c r="AA86" i="6"/>
  <c r="AE86" i="6" s="1"/>
  <c r="AA64" i="6"/>
  <c r="AE64" i="6" s="1"/>
  <c r="AA66" i="6"/>
  <c r="AE66" i="6" s="1"/>
  <c r="AA81" i="6"/>
  <c r="AE81" i="6" s="1"/>
  <c r="AA34" i="6"/>
  <c r="AE34" i="6" s="1"/>
  <c r="AA37" i="6"/>
  <c r="AE37" i="6" s="1"/>
  <c r="AA68" i="6"/>
  <c r="AE68" i="6" s="1"/>
  <c r="AA56" i="6"/>
  <c r="AE56" i="6" s="1"/>
  <c r="AA32" i="6"/>
  <c r="AE32" i="6" s="1"/>
  <c r="AA41" i="6"/>
  <c r="AE41" i="6" s="1"/>
  <c r="G33" i="7"/>
  <c r="X33" i="7" s="1"/>
  <c r="G33" i="6"/>
  <c r="X33" i="6" s="1"/>
  <c r="D74" i="7"/>
  <c r="D75" i="7"/>
  <c r="S28" i="5"/>
  <c r="P28" i="5"/>
  <c r="Z6" i="5"/>
  <c r="AA82" i="7"/>
  <c r="AE82" i="7" s="1"/>
  <c r="AA72" i="7"/>
  <c r="AE72" i="7" s="1"/>
  <c r="AA66" i="7"/>
  <c r="AE66" i="7" s="1"/>
  <c r="AA84" i="7"/>
  <c r="AE84" i="7" s="1"/>
  <c r="AA62" i="7"/>
  <c r="AE62" i="7" s="1"/>
  <c r="AA40" i="7"/>
  <c r="AE40" i="7" s="1"/>
  <c r="AA70" i="7"/>
  <c r="AE70" i="7" s="1"/>
  <c r="AA68" i="7"/>
  <c r="AE68" i="7" s="1"/>
  <c r="AA45" i="7"/>
  <c r="AE45" i="7" s="1"/>
  <c r="AA52" i="7"/>
  <c r="AE52" i="7" s="1"/>
  <c r="AA64" i="7"/>
  <c r="AE64" i="7" s="1"/>
  <c r="AA47" i="7"/>
  <c r="AE47" i="7" s="1"/>
  <c r="AA35" i="7"/>
  <c r="AE35" i="7" s="1"/>
  <c r="AA80" i="7"/>
  <c r="AE80" i="7" s="1"/>
  <c r="AA39" i="7"/>
  <c r="AE39" i="7" s="1"/>
  <c r="E6" i="7"/>
  <c r="AA41" i="7"/>
  <c r="AE41" i="7" s="1"/>
  <c r="AA33" i="7"/>
  <c r="AE33" i="7" s="1"/>
  <c r="D8" i="3"/>
  <c r="D45" i="3"/>
  <c r="AA55" i="7"/>
  <c r="AE55" i="7" s="1"/>
  <c r="AA44" i="7"/>
  <c r="AE44" i="7" s="1"/>
  <c r="AA88" i="7"/>
  <c r="AE88" i="7" s="1"/>
  <c r="AA59" i="7"/>
  <c r="AE59" i="7" s="1"/>
  <c r="AA37" i="7"/>
  <c r="AE37" i="7" s="1"/>
  <c r="AA58" i="7"/>
  <c r="AE58" i="7" s="1"/>
  <c r="AA73" i="7"/>
  <c r="AE73" i="7" s="1"/>
  <c r="AA36" i="7"/>
  <c r="AE36" i="7" s="1"/>
  <c r="AA75" i="7"/>
  <c r="AE75" i="7" s="1"/>
  <c r="AA79" i="7"/>
  <c r="AE79" i="7" s="1"/>
  <c r="AA91" i="7"/>
  <c r="AE91" i="7" s="1"/>
  <c r="AA50" i="7"/>
  <c r="AE50" i="7" s="1"/>
  <c r="AA63" i="7"/>
  <c r="AE63" i="7" s="1"/>
  <c r="AA46" i="7"/>
  <c r="AE46" i="7" s="1"/>
  <c r="AA90" i="7"/>
  <c r="AE90" i="7" s="1"/>
  <c r="AA65" i="7"/>
  <c r="AE65" i="7" s="1"/>
  <c r="AA60" i="7"/>
  <c r="AE60" i="7" s="1"/>
  <c r="AA77" i="7"/>
  <c r="AE77" i="7" s="1"/>
  <c r="AA86" i="7"/>
  <c r="AE86" i="7" s="1"/>
  <c r="AA57" i="7"/>
  <c r="AE57" i="7" s="1"/>
  <c r="AA49" i="7"/>
  <c r="AE49" i="7" s="1"/>
  <c r="AA76" i="7"/>
  <c r="AE76" i="7" s="1"/>
  <c r="AA74" i="7"/>
  <c r="AE74" i="7" s="1"/>
  <c r="AA48" i="7"/>
  <c r="AE48" i="7" s="1"/>
  <c r="AA38" i="7"/>
  <c r="AE38" i="7" s="1"/>
  <c r="AA43" i="7"/>
  <c r="AE43" i="7" s="1"/>
  <c r="AA34" i="7"/>
  <c r="AE34" i="7" s="1"/>
  <c r="AA78" i="7"/>
  <c r="AE78" i="7" s="1"/>
  <c r="AA85" i="7"/>
  <c r="AE85" i="7" s="1"/>
  <c r="AA69" i="7"/>
  <c r="AE69" i="7" s="1"/>
  <c r="AA61" i="7"/>
  <c r="AE61" i="7" s="1"/>
  <c r="AA67" i="7"/>
  <c r="AE67" i="7" s="1"/>
  <c r="AA87" i="7"/>
  <c r="AE87" i="7" s="1"/>
  <c r="AA83" i="7"/>
  <c r="AE83" i="7" s="1"/>
  <c r="AA32" i="7"/>
  <c r="AE32" i="7" s="1"/>
  <c r="AA53" i="7"/>
  <c r="AE53" i="7" s="1"/>
  <c r="AA81" i="7"/>
  <c r="AE81" i="7" s="1"/>
  <c r="AA51" i="7"/>
  <c r="AE51" i="7" s="1"/>
  <c r="AA54" i="7"/>
  <c r="AE54" i="7" s="1"/>
  <c r="AA56" i="7"/>
  <c r="AE56" i="7" s="1"/>
  <c r="AA89" i="7"/>
  <c r="AE89" i="7" s="1"/>
  <c r="AA71" i="7"/>
  <c r="AE71" i="7" s="1"/>
  <c r="AA42" i="7"/>
  <c r="AE42" i="7" s="1"/>
  <c r="W9" i="5"/>
  <c r="W10" i="5"/>
  <c r="W8" i="5"/>
  <c r="Y8" i="5" s="1"/>
  <c r="D36" i="6" l="1"/>
  <c r="D37" i="6"/>
  <c r="F8" i="5"/>
  <c r="C9" i="5"/>
  <c r="E8" i="5"/>
  <c r="E16" i="7"/>
  <c r="D30" i="3" s="1"/>
  <c r="J32" i="6"/>
  <c r="Y9" i="5"/>
  <c r="Y10" i="5" s="1"/>
  <c r="Z10" i="5" s="1"/>
  <c r="S23" i="5"/>
  <c r="P23" i="5"/>
  <c r="D77" i="7"/>
  <c r="D76" i="7"/>
  <c r="F36" i="7"/>
  <c r="F36" i="6"/>
  <c r="H29" i="5"/>
  <c r="J28" i="5"/>
  <c r="K28" i="5" s="1"/>
  <c r="L28" i="5"/>
  <c r="E7" i="7"/>
  <c r="E9" i="7" s="1"/>
  <c r="D11" i="3"/>
  <c r="E16" i="6"/>
  <c r="D69" i="7"/>
  <c r="D68" i="7"/>
  <c r="F34" i="7"/>
  <c r="F34" i="6"/>
  <c r="Z8" i="5"/>
  <c r="X9" i="5"/>
  <c r="X8" i="5"/>
  <c r="I32" i="6"/>
  <c r="F35" i="7"/>
  <c r="F35" i="6"/>
  <c r="X10" i="5"/>
  <c r="W11" i="5"/>
  <c r="K15" i="5"/>
  <c r="Q8" i="5"/>
  <c r="W12" i="5" s="1"/>
  <c r="E9" i="5" l="1"/>
  <c r="C10" i="5"/>
  <c r="F9" i="5"/>
  <c r="D39" i="6"/>
  <c r="D38" i="6"/>
  <c r="E17" i="7"/>
  <c r="D29" i="3" s="1"/>
  <c r="Z9" i="5"/>
  <c r="Y11" i="5"/>
  <c r="Y12" i="5" s="1"/>
  <c r="Z12" i="5" s="1"/>
  <c r="D53" i="7"/>
  <c r="D52" i="7"/>
  <c r="G34" i="7"/>
  <c r="X34" i="7" s="1"/>
  <c r="G34" i="6"/>
  <c r="X34" i="6" s="1"/>
  <c r="F37" i="7"/>
  <c r="F37" i="6"/>
  <c r="Z11" i="5"/>
  <c r="X12" i="5"/>
  <c r="G35" i="7"/>
  <c r="X35" i="7" s="1"/>
  <c r="G35" i="6"/>
  <c r="X35" i="6" s="1"/>
  <c r="F38" i="7"/>
  <c r="F38" i="6"/>
  <c r="D12" i="3"/>
  <c r="D18" i="3"/>
  <c r="W13" i="5"/>
  <c r="G36" i="7"/>
  <c r="X36" i="7" s="1"/>
  <c r="G36" i="6"/>
  <c r="X36" i="6" s="1"/>
  <c r="R8" i="5"/>
  <c r="D78" i="7"/>
  <c r="D79" i="7"/>
  <c r="J29" i="5"/>
  <c r="H30" i="5"/>
  <c r="L29" i="5"/>
  <c r="C30" i="3"/>
  <c r="E17" i="6"/>
  <c r="C29" i="3" s="1"/>
  <c r="X11" i="5"/>
  <c r="E10" i="5" l="1"/>
  <c r="C11" i="5"/>
  <c r="F10" i="5"/>
  <c r="D41" i="6"/>
  <c r="D40" i="6"/>
  <c r="Y13" i="5"/>
  <c r="Z13" i="5" s="1"/>
  <c r="X13" i="5"/>
  <c r="G39" i="7" s="1"/>
  <c r="X39" i="7" s="1"/>
  <c r="F39" i="7"/>
  <c r="F39" i="6"/>
  <c r="G38" i="7"/>
  <c r="X38" i="7" s="1"/>
  <c r="G38" i="6"/>
  <c r="X38" i="6" s="1"/>
  <c r="G37" i="7"/>
  <c r="X37" i="7" s="1"/>
  <c r="G37" i="6"/>
  <c r="X37" i="6" s="1"/>
  <c r="L30" i="5"/>
  <c r="H31" i="5"/>
  <c r="J30" i="5"/>
  <c r="K30" i="5" s="1"/>
  <c r="K29" i="5"/>
  <c r="Q9" i="5"/>
  <c r="C12" i="5" l="1"/>
  <c r="F11" i="5"/>
  <c r="E11" i="5"/>
  <c r="D42" i="6"/>
  <c r="D43" i="6"/>
  <c r="G39" i="6"/>
  <c r="X39" i="6" s="1"/>
  <c r="D81" i="7"/>
  <c r="D80" i="7"/>
  <c r="W15" i="5"/>
  <c r="W14" i="5"/>
  <c r="R9" i="5"/>
  <c r="D83" i="7"/>
  <c r="D82" i="7"/>
  <c r="J31" i="5"/>
  <c r="H32" i="5"/>
  <c r="L31" i="5"/>
  <c r="D44" i="6" l="1"/>
  <c r="D45" i="6"/>
  <c r="C13" i="5"/>
  <c r="C14" i="5" s="1"/>
  <c r="F12" i="5"/>
  <c r="E12" i="5"/>
  <c r="F40" i="7"/>
  <c r="X15" i="5"/>
  <c r="F40" i="6"/>
  <c r="X14" i="5"/>
  <c r="Y14" i="5"/>
  <c r="Y15" i="5" s="1"/>
  <c r="Q10" i="5"/>
  <c r="K31" i="5"/>
  <c r="F41" i="7"/>
  <c r="F41" i="6"/>
  <c r="L32" i="5"/>
  <c r="J32" i="5"/>
  <c r="K32" i="5" s="1"/>
  <c r="H33" i="5"/>
  <c r="C15" i="5" l="1"/>
  <c r="F14" i="5"/>
  <c r="E14" i="5"/>
  <c r="D46" i="6"/>
  <c r="D47" i="6"/>
  <c r="E13" i="5"/>
  <c r="F13" i="5"/>
  <c r="D86" i="7"/>
  <c r="D87" i="7"/>
  <c r="W17" i="5"/>
  <c r="W16" i="5"/>
  <c r="Y16" i="5" s="1"/>
  <c r="Y17" i="5" s="1"/>
  <c r="G40" i="7"/>
  <c r="X40" i="7" s="1"/>
  <c r="G40" i="6"/>
  <c r="X40" i="6" s="1"/>
  <c r="H34" i="5"/>
  <c r="J33" i="5"/>
  <c r="L33" i="5"/>
  <c r="D85" i="7"/>
  <c r="D84" i="7"/>
  <c r="R10" i="5"/>
  <c r="Z14" i="5"/>
  <c r="Z15" i="5"/>
  <c r="G41" i="7"/>
  <c r="X41" i="7" s="1"/>
  <c r="G41" i="6"/>
  <c r="X41" i="6" s="1"/>
  <c r="D51" i="6" l="1"/>
  <c r="D50" i="6"/>
  <c r="E15" i="5"/>
  <c r="C16" i="5"/>
  <c r="F15" i="5"/>
  <c r="D48" i="6"/>
  <c r="D49" i="6"/>
  <c r="L34" i="5"/>
  <c r="J34" i="5"/>
  <c r="K34" i="5" s="1"/>
  <c r="E38" i="5"/>
  <c r="F42" i="7"/>
  <c r="F42" i="6"/>
  <c r="Z16" i="5"/>
  <c r="X17" i="5"/>
  <c r="X16" i="5"/>
  <c r="F43" i="7"/>
  <c r="F43" i="6"/>
  <c r="Z17" i="5"/>
  <c r="K33" i="5"/>
  <c r="Q11" i="5"/>
  <c r="R11" i="5" s="1"/>
  <c r="F16" i="5" l="1"/>
  <c r="E16" i="5"/>
  <c r="C17" i="5"/>
  <c r="D52" i="6"/>
  <c r="D53" i="6"/>
  <c r="E44" i="5"/>
  <c r="D51" i="3" s="1"/>
  <c r="W19" i="5"/>
  <c r="W18" i="5"/>
  <c r="Q12" i="5"/>
  <c r="G43" i="7"/>
  <c r="X43" i="7" s="1"/>
  <c r="G43" i="6"/>
  <c r="X43" i="6" s="1"/>
  <c r="D88" i="7"/>
  <c r="D89" i="7"/>
  <c r="B6" i="7"/>
  <c r="D48" i="3"/>
  <c r="D49" i="3"/>
  <c r="D90" i="7"/>
  <c r="D91" i="7"/>
  <c r="G42" i="7"/>
  <c r="X42" i="7" s="1"/>
  <c r="G42" i="6"/>
  <c r="X42" i="6" s="1"/>
  <c r="C18" i="5" l="1"/>
  <c r="F17" i="5"/>
  <c r="E17" i="5"/>
  <c r="D54" i="6"/>
  <c r="D55" i="6"/>
  <c r="E6" i="6"/>
  <c r="E84" i="7"/>
  <c r="E72" i="7"/>
  <c r="E86" i="7"/>
  <c r="E90" i="7"/>
  <c r="E88" i="7"/>
  <c r="E67" i="7"/>
  <c r="E52" i="7"/>
  <c r="E66" i="7"/>
  <c r="E58" i="7"/>
  <c r="E74" i="7"/>
  <c r="E45" i="7"/>
  <c r="E38" i="7"/>
  <c r="E32" i="7"/>
  <c r="L32" i="7" s="1"/>
  <c r="E78" i="7"/>
  <c r="E63" i="7"/>
  <c r="E47" i="7"/>
  <c r="E56" i="7"/>
  <c r="E33" i="7"/>
  <c r="E34" i="7"/>
  <c r="E39" i="7"/>
  <c r="E49" i="7"/>
  <c r="E40" i="7"/>
  <c r="E79" i="7"/>
  <c r="E82" i="7"/>
  <c r="E81" i="7"/>
  <c r="E42" i="7"/>
  <c r="E62" i="7"/>
  <c r="E71" i="7"/>
  <c r="E35" i="7"/>
  <c r="E64" i="7"/>
  <c r="E83" i="7"/>
  <c r="E44" i="7"/>
  <c r="E70" i="7"/>
  <c r="E87" i="7"/>
  <c r="E60" i="7"/>
  <c r="E80" i="7"/>
  <c r="E91" i="7"/>
  <c r="E73" i="7"/>
  <c r="E75" i="7"/>
  <c r="E85" i="7"/>
  <c r="E46" i="7"/>
  <c r="E41" i="7"/>
  <c r="E55" i="7"/>
  <c r="E76" i="7"/>
  <c r="E57" i="7"/>
  <c r="E77" i="7"/>
  <c r="E36" i="7"/>
  <c r="E68" i="7"/>
  <c r="E54" i="7"/>
  <c r="E53" i="7"/>
  <c r="E43" i="7"/>
  <c r="E65" i="7"/>
  <c r="E48" i="7"/>
  <c r="E61" i="7"/>
  <c r="E37" i="7"/>
  <c r="E50" i="7"/>
  <c r="E59" i="7"/>
  <c r="E51" i="7"/>
  <c r="E69" i="7"/>
  <c r="E89" i="7"/>
  <c r="W21" i="5"/>
  <c r="R12" i="5"/>
  <c r="F44" i="7"/>
  <c r="F44" i="6"/>
  <c r="X19" i="5"/>
  <c r="Y18" i="5"/>
  <c r="Y19" i="5" s="1"/>
  <c r="X18" i="5"/>
  <c r="W20" i="5"/>
  <c r="X20" i="5" s="1"/>
  <c r="F45" i="7"/>
  <c r="F45" i="6"/>
  <c r="C19" i="5" l="1"/>
  <c r="F18" i="5"/>
  <c r="E18" i="5"/>
  <c r="D56" i="6"/>
  <c r="D57" i="6"/>
  <c r="E7" i="6"/>
  <c r="E9" i="6" s="1"/>
  <c r="C12" i="3" s="1"/>
  <c r="C11" i="3"/>
  <c r="Y20" i="5"/>
  <c r="Y21" i="5" s="1"/>
  <c r="Z21" i="5" s="1"/>
  <c r="Z19" i="5"/>
  <c r="G46" i="7"/>
  <c r="X46" i="7" s="1"/>
  <c r="G46" i="6"/>
  <c r="X46" i="6" s="1"/>
  <c r="G44" i="7"/>
  <c r="X44" i="7" s="1"/>
  <c r="G44" i="6"/>
  <c r="X44" i="6" s="1"/>
  <c r="F47" i="7"/>
  <c r="F47" i="6"/>
  <c r="AH89" i="7"/>
  <c r="P89" i="7"/>
  <c r="Q13" i="5"/>
  <c r="G45" i="7"/>
  <c r="X45" i="7" s="1"/>
  <c r="G45" i="6"/>
  <c r="X45" i="6" s="1"/>
  <c r="F46" i="7"/>
  <c r="F46" i="6"/>
  <c r="Z20" i="5"/>
  <c r="X21" i="5"/>
  <c r="Z18" i="5"/>
  <c r="AH91" i="7"/>
  <c r="P91" i="7"/>
  <c r="L33" i="7"/>
  <c r="M32" i="7"/>
  <c r="D59" i="6" l="1"/>
  <c r="D58" i="6"/>
  <c r="C20" i="5"/>
  <c r="E19" i="5"/>
  <c r="F19" i="5"/>
  <c r="W23" i="5"/>
  <c r="W22" i="5"/>
  <c r="R13" i="5"/>
  <c r="G47" i="7"/>
  <c r="X47" i="7" s="1"/>
  <c r="G47" i="6"/>
  <c r="X47" i="6" s="1"/>
  <c r="V32" i="7"/>
  <c r="W32" i="7" s="1"/>
  <c r="Y32" i="7" s="1"/>
  <c r="M33" i="7"/>
  <c r="N32" i="7"/>
  <c r="AF32" i="7"/>
  <c r="T33" i="7"/>
  <c r="U32" i="7"/>
  <c r="O32" i="7"/>
  <c r="D60" i="6" l="1"/>
  <c r="D61" i="6"/>
  <c r="F20" i="5"/>
  <c r="C21" i="5"/>
  <c r="E20" i="5"/>
  <c r="O33" i="7"/>
  <c r="Z32" i="7"/>
  <c r="F48" i="7"/>
  <c r="F48" i="6"/>
  <c r="X23" i="5"/>
  <c r="X22" i="5"/>
  <c r="Y22" i="5"/>
  <c r="Y23" i="5" s="1"/>
  <c r="Z23" i="5" s="1"/>
  <c r="Q14" i="5"/>
  <c r="J34" i="7"/>
  <c r="V33" i="7"/>
  <c r="W33" i="7" s="1"/>
  <c r="Y33" i="7" s="1"/>
  <c r="U33" i="7"/>
  <c r="AF33" i="7"/>
  <c r="T34" i="7"/>
  <c r="I34" i="7"/>
  <c r="F49" i="7"/>
  <c r="F49" i="6"/>
  <c r="N33" i="7"/>
  <c r="D62" i="6" l="1"/>
  <c r="D63" i="6"/>
  <c r="C22" i="5"/>
  <c r="F21" i="5"/>
  <c r="E21" i="5"/>
  <c r="Z22" i="5"/>
  <c r="Z33" i="7"/>
  <c r="AB33" i="7" s="1"/>
  <c r="AC33" i="7" s="1"/>
  <c r="W25" i="5"/>
  <c r="W24" i="5"/>
  <c r="Y24" i="5" s="1"/>
  <c r="AB32" i="7"/>
  <c r="H34" i="7"/>
  <c r="K34" i="7" s="1"/>
  <c r="L34" i="7" s="1"/>
  <c r="P33" i="7"/>
  <c r="AH33" i="7" s="1"/>
  <c r="E25" i="6"/>
  <c r="E25" i="7"/>
  <c r="R14" i="5"/>
  <c r="G48" i="7"/>
  <c r="X48" i="7" s="1"/>
  <c r="G48" i="6"/>
  <c r="X48" i="6" s="1"/>
  <c r="G49" i="7"/>
  <c r="X49" i="7" s="1"/>
  <c r="G49" i="6"/>
  <c r="X49" i="6" s="1"/>
  <c r="D64" i="6" l="1"/>
  <c r="D65" i="6"/>
  <c r="C23" i="5"/>
  <c r="C24" i="5" s="1"/>
  <c r="F22" i="5"/>
  <c r="E22" i="5"/>
  <c r="Q15" i="5"/>
  <c r="L35" i="7"/>
  <c r="M34" i="7"/>
  <c r="F50" i="7"/>
  <c r="F50" i="6"/>
  <c r="X25" i="5"/>
  <c r="Z24" i="5"/>
  <c r="X24" i="5"/>
  <c r="F51" i="7"/>
  <c r="F51" i="6"/>
  <c r="Z25" i="5"/>
  <c r="Y25" i="5"/>
  <c r="AC32" i="7"/>
  <c r="F24" i="5" l="1"/>
  <c r="C25" i="5"/>
  <c r="E24" i="5"/>
  <c r="D66" i="6"/>
  <c r="D67" i="6"/>
  <c r="E23" i="5"/>
  <c r="F23" i="5"/>
  <c r="M35" i="7"/>
  <c r="V34" i="7"/>
  <c r="W34" i="7" s="1"/>
  <c r="Y34" i="7" s="1"/>
  <c r="T35" i="7"/>
  <c r="U34" i="7"/>
  <c r="AF34" i="7"/>
  <c r="N34" i="7"/>
  <c r="O34" i="7"/>
  <c r="W27" i="5"/>
  <c r="W26" i="5"/>
  <c r="Y26" i="5" s="1"/>
  <c r="G51" i="7"/>
  <c r="X51" i="7" s="1"/>
  <c r="G51" i="6"/>
  <c r="X51" i="6" s="1"/>
  <c r="G50" i="7"/>
  <c r="X50" i="7" s="1"/>
  <c r="G50" i="6"/>
  <c r="X50" i="6" s="1"/>
  <c r="R15" i="5"/>
  <c r="C26" i="5" l="1"/>
  <c r="F25" i="5"/>
  <c r="E25" i="5"/>
  <c r="D70" i="6"/>
  <c r="D71" i="6"/>
  <c r="D68" i="6"/>
  <c r="D69" i="6"/>
  <c r="Y27" i="5"/>
  <c r="O35" i="7"/>
  <c r="F52" i="7"/>
  <c r="F52" i="6"/>
  <c r="Z26" i="5"/>
  <c r="X27" i="5"/>
  <c r="X26" i="5"/>
  <c r="Q16" i="5"/>
  <c r="F53" i="7"/>
  <c r="Z27" i="5"/>
  <c r="F53" i="6"/>
  <c r="N35" i="7"/>
  <c r="V35" i="7"/>
  <c r="W35" i="7" s="1"/>
  <c r="Y35" i="7" s="1"/>
  <c r="J36" i="7"/>
  <c r="U35" i="7"/>
  <c r="AF35" i="7"/>
  <c r="T36" i="7"/>
  <c r="I36" i="7"/>
  <c r="Z34" i="7"/>
  <c r="D73" i="6" l="1"/>
  <c r="D72" i="6"/>
  <c r="F26" i="5"/>
  <c r="C27" i="5"/>
  <c r="E26" i="5"/>
  <c r="H36" i="7"/>
  <c r="K36" i="7" s="1"/>
  <c r="L36" i="7" s="1"/>
  <c r="P35" i="7"/>
  <c r="AH35" i="7" s="1"/>
  <c r="G52" i="7"/>
  <c r="X52" i="7" s="1"/>
  <c r="G52" i="6"/>
  <c r="X52" i="6" s="1"/>
  <c r="G53" i="7"/>
  <c r="X53" i="7" s="1"/>
  <c r="G53" i="6"/>
  <c r="X53" i="6" s="1"/>
  <c r="Z35" i="7"/>
  <c r="W29" i="5"/>
  <c r="W28" i="5"/>
  <c r="AB34" i="7"/>
  <c r="AC34" i="7" s="1"/>
  <c r="R16" i="5"/>
  <c r="D74" i="6" l="1"/>
  <c r="D75" i="6"/>
  <c r="F27" i="5"/>
  <c r="C28" i="5"/>
  <c r="E27" i="5"/>
  <c r="L37" i="7"/>
  <c r="M36" i="7"/>
  <c r="F55" i="7"/>
  <c r="F55" i="6"/>
  <c r="F54" i="7"/>
  <c r="F54" i="6"/>
  <c r="X29" i="5"/>
  <c r="Y28" i="5"/>
  <c r="Y29" i="5" s="1"/>
  <c r="X28" i="5"/>
  <c r="Q17" i="5"/>
  <c r="AB35" i="7"/>
  <c r="AC35" i="7" s="1"/>
  <c r="D77" i="6" l="1"/>
  <c r="D76" i="6"/>
  <c r="F28" i="5"/>
  <c r="C29" i="5"/>
  <c r="E28" i="5"/>
  <c r="Z28" i="5"/>
  <c r="M37" i="7"/>
  <c r="V36" i="7"/>
  <c r="W36" i="7" s="1"/>
  <c r="Y36" i="7" s="1"/>
  <c r="AF36" i="7"/>
  <c r="T37" i="7"/>
  <c r="U36" i="7"/>
  <c r="O36" i="7"/>
  <c r="N36" i="7"/>
  <c r="Z29" i="5"/>
  <c r="G54" i="7"/>
  <c r="X54" i="7" s="1"/>
  <c r="G54" i="6"/>
  <c r="X54" i="6" s="1"/>
  <c r="W31" i="5"/>
  <c r="W30" i="5"/>
  <c r="G55" i="7"/>
  <c r="X55" i="7" s="1"/>
  <c r="G55" i="6"/>
  <c r="X55" i="6" s="1"/>
  <c r="R17" i="5"/>
  <c r="D79" i="6" l="1"/>
  <c r="D78" i="6"/>
  <c r="E29" i="5"/>
  <c r="C30" i="5"/>
  <c r="F29" i="5"/>
  <c r="N37" i="7"/>
  <c r="O37" i="7"/>
  <c r="Z36" i="7"/>
  <c r="F56" i="7"/>
  <c r="F56" i="6"/>
  <c r="X31" i="5"/>
  <c r="X30" i="5"/>
  <c r="F57" i="7"/>
  <c r="F57" i="6"/>
  <c r="Y30" i="5"/>
  <c r="Y31" i="5" s="1"/>
  <c r="Q18" i="5"/>
  <c r="R18" i="5" s="1"/>
  <c r="V37" i="7"/>
  <c r="W37" i="7" s="1"/>
  <c r="Y37" i="7" s="1"/>
  <c r="J38" i="7"/>
  <c r="T38" i="7"/>
  <c r="AF37" i="7"/>
  <c r="U37" i="7"/>
  <c r="I38" i="7"/>
  <c r="H38" i="7" l="1"/>
  <c r="K38" i="7" s="1"/>
  <c r="F30" i="5"/>
  <c r="C31" i="5"/>
  <c r="E30" i="5"/>
  <c r="D81" i="6"/>
  <c r="D80" i="6"/>
  <c r="Z37" i="7"/>
  <c r="AB37" i="7" s="1"/>
  <c r="AC37" i="7" s="1"/>
  <c r="P37" i="7"/>
  <c r="AH37" i="7" s="1"/>
  <c r="Z30" i="5"/>
  <c r="Q19" i="5"/>
  <c r="W34" i="5" s="1"/>
  <c r="G56" i="7"/>
  <c r="X56" i="7" s="1"/>
  <c r="G56" i="6"/>
  <c r="X56" i="6" s="1"/>
  <c r="G57" i="7"/>
  <c r="X57" i="7" s="1"/>
  <c r="G57" i="6"/>
  <c r="X57" i="6" s="1"/>
  <c r="AB36" i="7"/>
  <c r="Z31" i="5"/>
  <c r="L38" i="7"/>
  <c r="W33" i="5"/>
  <c r="W32" i="5"/>
  <c r="D82" i="6" l="1"/>
  <c r="D83" i="6"/>
  <c r="C32" i="5"/>
  <c r="F31" i="5"/>
  <c r="E31" i="5"/>
  <c r="W35" i="5"/>
  <c r="F59" i="7"/>
  <c r="F59" i="6"/>
  <c r="X34" i="5"/>
  <c r="F60" i="7"/>
  <c r="F60" i="6"/>
  <c r="X35" i="5"/>
  <c r="R19" i="5"/>
  <c r="AC36" i="7"/>
  <c r="F58" i="7"/>
  <c r="F58" i="6"/>
  <c r="X33" i="5"/>
  <c r="X32" i="5"/>
  <c r="Y32" i="5"/>
  <c r="Y33" i="5" s="1"/>
  <c r="Y34" i="5" s="1"/>
  <c r="L39" i="7"/>
  <c r="M38" i="7"/>
  <c r="D85" i="6" l="1"/>
  <c r="D84" i="6"/>
  <c r="C33" i="5"/>
  <c r="E32" i="5"/>
  <c r="F32" i="5"/>
  <c r="Z33" i="5"/>
  <c r="G60" i="7"/>
  <c r="X60" i="7" s="1"/>
  <c r="G60" i="6"/>
  <c r="X60" i="6" s="1"/>
  <c r="Y35" i="5"/>
  <c r="Z35" i="5" s="1"/>
  <c r="V38" i="7"/>
  <c r="W38" i="7" s="1"/>
  <c r="Y38" i="7" s="1"/>
  <c r="M39" i="7"/>
  <c r="AF38" i="7"/>
  <c r="T39" i="7"/>
  <c r="U38" i="7"/>
  <c r="O38" i="7"/>
  <c r="N38" i="7"/>
  <c r="G61" i="7"/>
  <c r="X61" i="7" s="1"/>
  <c r="G61" i="6"/>
  <c r="X61" i="6" s="1"/>
  <c r="Q20" i="5"/>
  <c r="F61" i="7"/>
  <c r="F61" i="6"/>
  <c r="G58" i="7"/>
  <c r="X58" i="7" s="1"/>
  <c r="G58" i="6"/>
  <c r="X58" i="6" s="1"/>
  <c r="G59" i="7"/>
  <c r="X59" i="7" s="1"/>
  <c r="G59" i="6"/>
  <c r="X59" i="6" s="1"/>
  <c r="Z32" i="5"/>
  <c r="Z34" i="5"/>
  <c r="D87" i="6" l="1"/>
  <c r="D86" i="6"/>
  <c r="C34" i="5"/>
  <c r="F33" i="5"/>
  <c r="E33" i="5"/>
  <c r="N39" i="7"/>
  <c r="O39" i="7"/>
  <c r="Z38" i="7"/>
  <c r="AB38" i="7" s="1"/>
  <c r="AC38" i="7" s="1"/>
  <c r="W37" i="5"/>
  <c r="W36" i="5"/>
  <c r="J40" i="7"/>
  <c r="V39" i="7"/>
  <c r="W39" i="7" s="1"/>
  <c r="Y39" i="7" s="1"/>
  <c r="U39" i="7"/>
  <c r="T40" i="7"/>
  <c r="AF39" i="7"/>
  <c r="I40" i="7"/>
  <c r="R20" i="5"/>
  <c r="D88" i="6" l="1"/>
  <c r="D89" i="6"/>
  <c r="E37" i="5"/>
  <c r="F34" i="5"/>
  <c r="E34" i="5"/>
  <c r="E43" i="5" s="1"/>
  <c r="C51" i="3" s="1"/>
  <c r="H40" i="7"/>
  <c r="K40" i="7" s="1"/>
  <c r="L40" i="7" s="1"/>
  <c r="P39" i="7"/>
  <c r="AH39" i="7" s="1"/>
  <c r="Z39" i="7"/>
  <c r="AB39" i="7" s="1"/>
  <c r="AC39" i="7" s="1"/>
  <c r="F62" i="7"/>
  <c r="F62" i="6"/>
  <c r="X37" i="5"/>
  <c r="X36" i="5"/>
  <c r="Y36" i="5"/>
  <c r="Y37" i="5" s="1"/>
  <c r="F63" i="7"/>
  <c r="F63" i="6"/>
  <c r="Q21" i="5"/>
  <c r="R21" i="5" s="1"/>
  <c r="D91" i="6" l="1"/>
  <c r="D90" i="6"/>
  <c r="B6" i="6"/>
  <c r="C48" i="3"/>
  <c r="C49" i="3"/>
  <c r="Q22" i="5"/>
  <c r="L41" i="7"/>
  <c r="M40" i="7"/>
  <c r="G63" i="7"/>
  <c r="X63" i="7" s="1"/>
  <c r="G63" i="6"/>
  <c r="X63" i="6" s="1"/>
  <c r="W40" i="5"/>
  <c r="W39" i="5"/>
  <c r="W38" i="5"/>
  <c r="Y38" i="5" s="1"/>
  <c r="G62" i="7"/>
  <c r="X62" i="7" s="1"/>
  <c r="G62" i="6"/>
  <c r="X62" i="6" s="1"/>
  <c r="Z36" i="5"/>
  <c r="Z37" i="5"/>
  <c r="E79" i="6" l="1"/>
  <c r="E72" i="6"/>
  <c r="E89" i="6"/>
  <c r="E55" i="6"/>
  <c r="E34" i="6"/>
  <c r="E70" i="6"/>
  <c r="E81" i="6"/>
  <c r="E52" i="6"/>
  <c r="E53" i="6"/>
  <c r="E84" i="6"/>
  <c r="E45" i="6"/>
  <c r="E67" i="6"/>
  <c r="E65" i="6"/>
  <c r="E68" i="6"/>
  <c r="E38" i="6"/>
  <c r="E58" i="6"/>
  <c r="E88" i="6"/>
  <c r="E64" i="6"/>
  <c r="E40" i="6"/>
  <c r="E76" i="6"/>
  <c r="E75" i="6"/>
  <c r="E43" i="6"/>
  <c r="E32" i="6"/>
  <c r="L32" i="6" s="1"/>
  <c r="E83" i="6"/>
  <c r="E49" i="6"/>
  <c r="E57" i="6"/>
  <c r="E87" i="6"/>
  <c r="E61" i="6"/>
  <c r="E74" i="6"/>
  <c r="E51" i="6"/>
  <c r="E46" i="6"/>
  <c r="E39" i="6"/>
  <c r="E59" i="6"/>
  <c r="E62" i="6"/>
  <c r="E77" i="6"/>
  <c r="E36" i="6"/>
  <c r="E73" i="6"/>
  <c r="E48" i="6"/>
  <c r="E60" i="6"/>
  <c r="E42" i="6"/>
  <c r="E78" i="6"/>
  <c r="E44" i="6"/>
  <c r="E37" i="6"/>
  <c r="E56" i="6"/>
  <c r="E66" i="6"/>
  <c r="E69" i="6"/>
  <c r="E85" i="6"/>
  <c r="E71" i="6"/>
  <c r="E63" i="6"/>
  <c r="E54" i="6"/>
  <c r="E41" i="6"/>
  <c r="E80" i="6"/>
  <c r="E86" i="6"/>
  <c r="E82" i="6"/>
  <c r="E35" i="6"/>
  <c r="E33" i="6"/>
  <c r="E47" i="6"/>
  <c r="E90" i="6"/>
  <c r="E50" i="6"/>
  <c r="E91" i="6"/>
  <c r="M41" i="7"/>
  <c r="V40" i="7"/>
  <c r="W40" i="7" s="1"/>
  <c r="Y40" i="7" s="1"/>
  <c r="U40" i="7"/>
  <c r="T41" i="7"/>
  <c r="AF40" i="7"/>
  <c r="N40" i="7"/>
  <c r="N41" i="7" s="1"/>
  <c r="O40" i="7"/>
  <c r="O41" i="7" s="1"/>
  <c r="F65" i="7"/>
  <c r="X40" i="5"/>
  <c r="F65" i="6"/>
  <c r="F66" i="7"/>
  <c r="F66" i="6"/>
  <c r="W41" i="5"/>
  <c r="X41" i="5" s="1"/>
  <c r="Y39" i="5"/>
  <c r="Y40" i="5" s="1"/>
  <c r="F64" i="7"/>
  <c r="F64" i="6"/>
  <c r="X39" i="5"/>
  <c r="Z38" i="5"/>
  <c r="X38" i="5"/>
  <c r="R22" i="5"/>
  <c r="AH91" i="6" l="1"/>
  <c r="P91" i="6"/>
  <c r="P89" i="6"/>
  <c r="AH89" i="6"/>
  <c r="M32" i="6"/>
  <c r="L33" i="6"/>
  <c r="Y41" i="5"/>
  <c r="Z41" i="5" s="1"/>
  <c r="Z39" i="5"/>
  <c r="Z40" i="7"/>
  <c r="AB40" i="7" s="1"/>
  <c r="AC40" i="7" s="1"/>
  <c r="G65" i="7"/>
  <c r="X65" i="7" s="1"/>
  <c r="G65" i="6"/>
  <c r="X65" i="6" s="1"/>
  <c r="Z40" i="5"/>
  <c r="F67" i="7"/>
  <c r="F67" i="6"/>
  <c r="V41" i="7"/>
  <c r="W41" i="7" s="1"/>
  <c r="Y41" i="7" s="1"/>
  <c r="J42" i="7"/>
  <c r="U41" i="7"/>
  <c r="T42" i="7"/>
  <c r="AF41" i="7"/>
  <c r="I42" i="7"/>
  <c r="G66" i="7"/>
  <c r="X66" i="7" s="1"/>
  <c r="G66" i="6"/>
  <c r="X66" i="6" s="1"/>
  <c r="H42" i="7"/>
  <c r="K42" i="7" s="1"/>
  <c r="P41" i="7"/>
  <c r="AH41" i="7" s="1"/>
  <c r="Q23" i="5"/>
  <c r="G67" i="7"/>
  <c r="X67" i="7" s="1"/>
  <c r="G67" i="6"/>
  <c r="X67" i="6" s="1"/>
  <c r="G64" i="7"/>
  <c r="X64" i="7" s="1"/>
  <c r="G64" i="6"/>
  <c r="X64" i="6" s="1"/>
  <c r="U32" i="6" l="1"/>
  <c r="N32" i="6"/>
  <c r="M33" i="6"/>
  <c r="O32" i="6"/>
  <c r="T33" i="6"/>
  <c r="V32" i="6"/>
  <c r="W32" i="6" s="1"/>
  <c r="Y32" i="6" s="1"/>
  <c r="AF32" i="6"/>
  <c r="Z41" i="7"/>
  <c r="AB41" i="7" s="1"/>
  <c r="AC41" i="7" s="1"/>
  <c r="W43" i="5"/>
  <c r="W42" i="5"/>
  <c r="R23" i="5"/>
  <c r="L42" i="7"/>
  <c r="O33" i="6" l="1"/>
  <c r="Z32" i="6"/>
  <c r="AF33" i="6"/>
  <c r="T34" i="6"/>
  <c r="U33" i="6"/>
  <c r="I34" i="6"/>
  <c r="J34" i="6"/>
  <c r="V33" i="6"/>
  <c r="W33" i="6" s="1"/>
  <c r="Y33" i="6" s="1"/>
  <c r="N33" i="6"/>
  <c r="AB32" i="6"/>
  <c r="AC32" i="6" s="1"/>
  <c r="L43" i="7"/>
  <c r="M42" i="7"/>
  <c r="F69" i="7"/>
  <c r="F69" i="6"/>
  <c r="Q24" i="5"/>
  <c r="F68" i="7"/>
  <c r="F68" i="6"/>
  <c r="X43" i="5"/>
  <c r="X42" i="5"/>
  <c r="Y42" i="5"/>
  <c r="Y43" i="5" s="1"/>
  <c r="P33" i="6" l="1"/>
  <c r="AH33" i="6" s="1"/>
  <c r="H34" i="6"/>
  <c r="K34" i="6" s="1"/>
  <c r="L34" i="6" s="1"/>
  <c r="Z33" i="6"/>
  <c r="AB33" i="6" s="1"/>
  <c r="AC33" i="6" s="1"/>
  <c r="V42" i="7"/>
  <c r="W42" i="7" s="1"/>
  <c r="Y42" i="7" s="1"/>
  <c r="M43" i="7"/>
  <c r="U42" i="7"/>
  <c r="T43" i="7"/>
  <c r="AF42" i="7"/>
  <c r="O42" i="7"/>
  <c r="N42" i="7"/>
  <c r="G68" i="7"/>
  <c r="X68" i="7" s="1"/>
  <c r="G68" i="6"/>
  <c r="X68" i="6" s="1"/>
  <c r="Z42" i="5"/>
  <c r="G69" i="7"/>
  <c r="X69" i="7" s="1"/>
  <c r="G69" i="6"/>
  <c r="X69" i="6" s="1"/>
  <c r="W45" i="5"/>
  <c r="W44" i="5"/>
  <c r="R24" i="5"/>
  <c r="Z43" i="5"/>
  <c r="L35" i="6" l="1"/>
  <c r="M34" i="6"/>
  <c r="N43" i="7"/>
  <c r="O43" i="7"/>
  <c r="P43" i="7" s="1"/>
  <c r="AH43" i="7" s="1"/>
  <c r="Z42" i="7"/>
  <c r="AB42" i="7" s="1"/>
  <c r="AC42" i="7" s="1"/>
  <c r="F70" i="7"/>
  <c r="F70" i="6"/>
  <c r="X45" i="5"/>
  <c r="X44" i="5"/>
  <c r="F71" i="7"/>
  <c r="F71" i="6"/>
  <c r="Y44" i="5"/>
  <c r="Y45" i="5" s="1"/>
  <c r="V43" i="7"/>
  <c r="W43" i="7" s="1"/>
  <c r="Y43" i="7" s="1"/>
  <c r="J44" i="7"/>
  <c r="T44" i="7"/>
  <c r="U43" i="7"/>
  <c r="AF43" i="7"/>
  <c r="I44" i="7"/>
  <c r="Q25" i="5"/>
  <c r="AF34" i="6" l="1"/>
  <c r="V34" i="6"/>
  <c r="W34" i="6" s="1"/>
  <c r="Y34" i="6" s="1"/>
  <c r="U34" i="6"/>
  <c r="M35" i="6"/>
  <c r="T35" i="6"/>
  <c r="O34" i="6"/>
  <c r="N34" i="6"/>
  <c r="N35" i="6" s="1"/>
  <c r="H44" i="7"/>
  <c r="K44" i="7" s="1"/>
  <c r="L44" i="7" s="1"/>
  <c r="G70" i="7"/>
  <c r="X70" i="7" s="1"/>
  <c r="G70" i="6"/>
  <c r="X70" i="6" s="1"/>
  <c r="W47" i="5"/>
  <c r="W46" i="5"/>
  <c r="Y46" i="5" s="1"/>
  <c r="Y47" i="5" s="1"/>
  <c r="R25" i="5"/>
  <c r="G71" i="7"/>
  <c r="X71" i="7" s="1"/>
  <c r="G71" i="6"/>
  <c r="X71" i="6" s="1"/>
  <c r="Z45" i="5"/>
  <c r="Z44" i="5"/>
  <c r="Z43" i="7"/>
  <c r="O35" i="6" l="1"/>
  <c r="P35" i="6" s="1"/>
  <c r="AH35" i="6" s="1"/>
  <c r="Z34" i="6"/>
  <c r="AB34" i="6" s="1"/>
  <c r="AC34" i="6" s="1"/>
  <c r="T36" i="6"/>
  <c r="V35" i="6"/>
  <c r="W35" i="6" s="1"/>
  <c r="Y35" i="6" s="1"/>
  <c r="U35" i="6"/>
  <c r="AF35" i="6"/>
  <c r="I36" i="6"/>
  <c r="J36" i="6"/>
  <c r="L45" i="7"/>
  <c r="M44" i="7"/>
  <c r="AB43" i="7"/>
  <c r="AC43" i="7" s="1"/>
  <c r="F72" i="7"/>
  <c r="Z46" i="5"/>
  <c r="F72" i="6"/>
  <c r="X47" i="5"/>
  <c r="X46" i="5"/>
  <c r="F73" i="7"/>
  <c r="F73" i="6"/>
  <c r="Z47" i="5"/>
  <c r="Q26" i="5"/>
  <c r="H36" i="6" l="1"/>
  <c r="K36" i="6" s="1"/>
  <c r="L36" i="6" s="1"/>
  <c r="L37" i="6" s="1"/>
  <c r="Z35" i="6"/>
  <c r="AB35" i="6" s="1"/>
  <c r="AC35" i="6" s="1"/>
  <c r="O44" i="7"/>
  <c r="V44" i="7"/>
  <c r="W44" i="7" s="1"/>
  <c r="Y44" i="7" s="1"/>
  <c r="U44" i="7"/>
  <c r="AF44" i="7"/>
  <c r="M45" i="7"/>
  <c r="T45" i="7"/>
  <c r="N44" i="7"/>
  <c r="N45" i="7" s="1"/>
  <c r="G72" i="7"/>
  <c r="X72" i="7" s="1"/>
  <c r="G72" i="6"/>
  <c r="X72" i="6" s="1"/>
  <c r="G73" i="7"/>
  <c r="X73" i="7" s="1"/>
  <c r="G73" i="6"/>
  <c r="X73" i="6" s="1"/>
  <c r="W49" i="5"/>
  <c r="W48" i="5"/>
  <c r="R26" i="5"/>
  <c r="M36" i="6" l="1"/>
  <c r="M37" i="6" s="1"/>
  <c r="T37" i="6"/>
  <c r="N36" i="6"/>
  <c r="O36" i="6"/>
  <c r="Z44" i="7"/>
  <c r="AB44" i="7" s="1"/>
  <c r="T46" i="7"/>
  <c r="J46" i="7"/>
  <c r="U45" i="7"/>
  <c r="V45" i="7"/>
  <c r="W45" i="7" s="1"/>
  <c r="Y45" i="7" s="1"/>
  <c r="I46" i="7"/>
  <c r="AF45" i="7"/>
  <c r="O45" i="7"/>
  <c r="P45" i="7" s="1"/>
  <c r="AH45" i="7" s="1"/>
  <c r="F75" i="7"/>
  <c r="F75" i="6"/>
  <c r="F74" i="7"/>
  <c r="F74" i="6"/>
  <c r="X49" i="5"/>
  <c r="X48" i="5"/>
  <c r="Y48" i="5"/>
  <c r="Y49" i="5" s="1"/>
  <c r="Q27" i="5"/>
  <c r="U36" i="6" l="1"/>
  <c r="AF36" i="6"/>
  <c r="V36" i="6"/>
  <c r="W36" i="6" s="1"/>
  <c r="Y36" i="6" s="1"/>
  <c r="N37" i="6"/>
  <c r="O37" i="6"/>
  <c r="P37" i="6" s="1"/>
  <c r="AH37" i="6" s="1"/>
  <c r="H38" i="6"/>
  <c r="K38" i="6" s="1"/>
  <c r="J38" i="6"/>
  <c r="V37" i="6"/>
  <c r="W37" i="6" s="1"/>
  <c r="Y37" i="6" s="1"/>
  <c r="AF37" i="6"/>
  <c r="U37" i="6"/>
  <c r="T38" i="6"/>
  <c r="I38" i="6"/>
  <c r="AC44" i="7"/>
  <c r="Z45" i="7"/>
  <c r="AB45" i="7" s="1"/>
  <c r="AC45" i="7" s="1"/>
  <c r="H46" i="7"/>
  <c r="K46" i="7" s="1"/>
  <c r="L46" i="7" s="1"/>
  <c r="G74" i="7"/>
  <c r="X74" i="7" s="1"/>
  <c r="G74" i="6"/>
  <c r="X74" i="6" s="1"/>
  <c r="G75" i="7"/>
  <c r="X75" i="7" s="1"/>
  <c r="G75" i="6"/>
  <c r="X75" i="6" s="1"/>
  <c r="Z48" i="5"/>
  <c r="Z49" i="5"/>
  <c r="W51" i="5"/>
  <c r="W50" i="5"/>
  <c r="R27" i="5"/>
  <c r="Z36" i="6" l="1"/>
  <c r="AB36" i="6" s="1"/>
  <c r="AC36" i="6" s="1"/>
  <c r="Z37" i="6"/>
  <c r="AB37" i="6" s="1"/>
  <c r="AC37" i="6" s="1"/>
  <c r="L38" i="6"/>
  <c r="L39" i="6" s="1"/>
  <c r="M46" i="7"/>
  <c r="L47" i="7"/>
  <c r="Q28" i="5"/>
  <c r="F76" i="7"/>
  <c r="X51" i="5"/>
  <c r="F76" i="6"/>
  <c r="X50" i="5"/>
  <c r="F77" i="7"/>
  <c r="F77" i="6"/>
  <c r="Y50" i="5"/>
  <c r="Y51" i="5" s="1"/>
  <c r="M38" i="6" l="1"/>
  <c r="M47" i="7"/>
  <c r="T47" i="7"/>
  <c r="N46" i="7"/>
  <c r="N47" i="7" s="1"/>
  <c r="AF46" i="7"/>
  <c r="U46" i="7"/>
  <c r="O46" i="7"/>
  <c r="O47" i="7" s="1"/>
  <c r="V46" i="7"/>
  <c r="W46" i="7" s="1"/>
  <c r="Y46" i="7" s="1"/>
  <c r="Z50" i="5"/>
  <c r="G76" i="7"/>
  <c r="X76" i="7" s="1"/>
  <c r="G76" i="6"/>
  <c r="X76" i="6" s="1"/>
  <c r="G77" i="7"/>
  <c r="X77" i="7" s="1"/>
  <c r="G77" i="6"/>
  <c r="X77" i="6" s="1"/>
  <c r="W53" i="5"/>
  <c r="W52" i="5"/>
  <c r="Z51" i="5"/>
  <c r="R28" i="5"/>
  <c r="V38" i="6" l="1"/>
  <c r="W38" i="6" s="1"/>
  <c r="Y38" i="6" s="1"/>
  <c r="M39" i="6"/>
  <c r="T39" i="6"/>
  <c r="N38" i="6"/>
  <c r="N39" i="6" s="1"/>
  <c r="O38" i="6"/>
  <c r="O39" i="6" s="1"/>
  <c r="U38" i="6"/>
  <c r="Z38" i="6" s="1"/>
  <c r="AB38" i="6" s="1"/>
  <c r="AC38" i="6" s="1"/>
  <c r="AF38" i="6"/>
  <c r="Z46" i="7"/>
  <c r="AB46" i="7" s="1"/>
  <c r="AC46" i="7" s="1"/>
  <c r="H48" i="7"/>
  <c r="K48" i="7" s="1"/>
  <c r="P47" i="7"/>
  <c r="AH47" i="7" s="1"/>
  <c r="J48" i="7"/>
  <c r="V47" i="7"/>
  <c r="W47" i="7" s="1"/>
  <c r="Y47" i="7" s="1"/>
  <c r="AF47" i="7"/>
  <c r="I48" i="7"/>
  <c r="U47" i="7"/>
  <c r="T48" i="7"/>
  <c r="F78" i="7"/>
  <c r="F78" i="6"/>
  <c r="X53" i="5"/>
  <c r="X52" i="5"/>
  <c r="F79" i="7"/>
  <c r="F79" i="6"/>
  <c r="Q29" i="5"/>
  <c r="R29" i="5" s="1"/>
  <c r="Y52" i="5"/>
  <c r="Y53" i="5" s="1"/>
  <c r="Z53" i="5" s="1"/>
  <c r="P39" i="6" l="1"/>
  <c r="AH39" i="6" s="1"/>
  <c r="H40" i="6"/>
  <c r="K40" i="6" s="1"/>
  <c r="AF39" i="6"/>
  <c r="U39" i="6"/>
  <c r="V39" i="6"/>
  <c r="W39" i="6" s="1"/>
  <c r="Y39" i="6" s="1"/>
  <c r="T40" i="6"/>
  <c r="J40" i="6"/>
  <c r="I40" i="6"/>
  <c r="Z52" i="5"/>
  <c r="Z47" i="7"/>
  <c r="L48" i="7"/>
  <c r="Q30" i="5"/>
  <c r="G78" i="7"/>
  <c r="X78" i="7" s="1"/>
  <c r="G78" i="6"/>
  <c r="X78" i="6" s="1"/>
  <c r="G79" i="7"/>
  <c r="X79" i="7" s="1"/>
  <c r="G79" i="6"/>
  <c r="X79" i="6" s="1"/>
  <c r="W56" i="5"/>
  <c r="W55" i="5"/>
  <c r="W54" i="5"/>
  <c r="Y54" i="5" s="1"/>
  <c r="L40" i="6" l="1"/>
  <c r="L41" i="6" s="1"/>
  <c r="Z39" i="6"/>
  <c r="AB39" i="6" s="1"/>
  <c r="AC39" i="6" s="1"/>
  <c r="Y55" i="5"/>
  <c r="Y56" i="5" s="1"/>
  <c r="Z56" i="5" s="1"/>
  <c r="L49" i="7"/>
  <c r="M48" i="7"/>
  <c r="AB47" i="7"/>
  <c r="AC47" i="7" s="1"/>
  <c r="F80" i="7"/>
  <c r="F80" i="6"/>
  <c r="Z54" i="5"/>
  <c r="X55" i="5"/>
  <c r="X54" i="5"/>
  <c r="W57" i="5"/>
  <c r="X57" i="5" s="1"/>
  <c r="F81" i="7"/>
  <c r="F81" i="6"/>
  <c r="X56" i="5"/>
  <c r="F82" i="7"/>
  <c r="F82" i="6"/>
  <c r="R30" i="5"/>
  <c r="M40" i="6" l="1"/>
  <c r="Z55" i="5"/>
  <c r="O48" i="7"/>
  <c r="AF48" i="7"/>
  <c r="N48" i="7"/>
  <c r="V48" i="7"/>
  <c r="W48" i="7" s="1"/>
  <c r="Y48" i="7" s="1"/>
  <c r="T49" i="7"/>
  <c r="M49" i="7"/>
  <c r="U48" i="7"/>
  <c r="G83" i="6"/>
  <c r="X83" i="6" s="1"/>
  <c r="G83" i="7"/>
  <c r="X83" i="7" s="1"/>
  <c r="Y57" i="5"/>
  <c r="G81" i="7"/>
  <c r="X81" i="7" s="1"/>
  <c r="G81" i="6"/>
  <c r="X81" i="6" s="1"/>
  <c r="G80" i="7"/>
  <c r="X80" i="7" s="1"/>
  <c r="G80" i="6"/>
  <c r="X80" i="6" s="1"/>
  <c r="G82" i="7"/>
  <c r="X82" i="7" s="1"/>
  <c r="G82" i="6"/>
  <c r="X82" i="6" s="1"/>
  <c r="F83" i="7"/>
  <c r="F83" i="6"/>
  <c r="Q31" i="5"/>
  <c r="R31" i="5" s="1"/>
  <c r="N40" i="6" l="1"/>
  <c r="U40" i="6"/>
  <c r="T41" i="6"/>
  <c r="O40" i="6"/>
  <c r="V40" i="6"/>
  <c r="W40" i="6" s="1"/>
  <c r="Y40" i="6" s="1"/>
  <c r="AF40" i="6"/>
  <c r="M41" i="6"/>
  <c r="Z48" i="7"/>
  <c r="AB48" i="7" s="1"/>
  <c r="AC48" i="7" s="1"/>
  <c r="V49" i="7"/>
  <c r="W49" i="7" s="1"/>
  <c r="Y49" i="7" s="1"/>
  <c r="T50" i="7"/>
  <c r="U49" i="7"/>
  <c r="I50" i="7"/>
  <c r="J50" i="7"/>
  <c r="AF49" i="7"/>
  <c r="N49" i="7"/>
  <c r="O49" i="7"/>
  <c r="W59" i="5"/>
  <c r="W58" i="5"/>
  <c r="Y58" i="5" s="1"/>
  <c r="Q32" i="5"/>
  <c r="Z57" i="5"/>
  <c r="J42" i="6" l="1"/>
  <c r="T42" i="6"/>
  <c r="I42" i="6"/>
  <c r="V41" i="6"/>
  <c r="W41" i="6" s="1"/>
  <c r="Y41" i="6" s="1"/>
  <c r="AF41" i="6"/>
  <c r="U41" i="6"/>
  <c r="Z41" i="6" s="1"/>
  <c r="AB41" i="6" s="1"/>
  <c r="AC41" i="6" s="1"/>
  <c r="Z40" i="6"/>
  <c r="AB40" i="6" s="1"/>
  <c r="AC40" i="6" s="1"/>
  <c r="O41" i="6"/>
  <c r="N41" i="6"/>
  <c r="Y59" i="5"/>
  <c r="Z49" i="7"/>
  <c r="AB49" i="7" s="1"/>
  <c r="AC49" i="7" s="1"/>
  <c r="P49" i="7"/>
  <c r="AH49" i="7" s="1"/>
  <c r="H50" i="7"/>
  <c r="K50" i="7" s="1"/>
  <c r="L50" i="7" s="1"/>
  <c r="W61" i="5"/>
  <c r="R32" i="5"/>
  <c r="W60" i="5"/>
  <c r="F84" i="7"/>
  <c r="F84" i="6"/>
  <c r="Z58" i="5"/>
  <c r="X59" i="5"/>
  <c r="X58" i="5"/>
  <c r="F85" i="7"/>
  <c r="F85" i="6"/>
  <c r="Z59" i="5"/>
  <c r="X60" i="5"/>
  <c r="P41" i="6" l="1"/>
  <c r="AH41" i="6" s="1"/>
  <c r="H42" i="6"/>
  <c r="K42" i="6" s="1"/>
  <c r="L42" i="6" s="1"/>
  <c r="L51" i="7"/>
  <c r="M50" i="7"/>
  <c r="G85" i="7"/>
  <c r="X85" i="7" s="1"/>
  <c r="G85" i="6"/>
  <c r="X85" i="6" s="1"/>
  <c r="Q33" i="5"/>
  <c r="G84" i="7"/>
  <c r="X84" i="7" s="1"/>
  <c r="G84" i="6"/>
  <c r="X84" i="6" s="1"/>
  <c r="F86" i="7"/>
  <c r="F86" i="6"/>
  <c r="X61" i="5"/>
  <c r="G86" i="7"/>
  <c r="X86" i="7" s="1"/>
  <c r="G86" i="6"/>
  <c r="X86" i="6" s="1"/>
  <c r="F87" i="7"/>
  <c r="F87" i="6"/>
  <c r="Y60" i="5"/>
  <c r="Y61" i="5" s="1"/>
  <c r="L43" i="6" l="1"/>
  <c r="M42" i="6"/>
  <c r="M51" i="7"/>
  <c r="T51" i="7"/>
  <c r="U50" i="7"/>
  <c r="AF50" i="7"/>
  <c r="V50" i="7"/>
  <c r="W50" i="7" s="1"/>
  <c r="Y50" i="7" s="1"/>
  <c r="O50" i="7"/>
  <c r="N50" i="7"/>
  <c r="W63" i="5"/>
  <c r="W62" i="5"/>
  <c r="Y62" i="5" s="1"/>
  <c r="Y63" i="5" s="1"/>
  <c r="G87" i="7"/>
  <c r="X87" i="7" s="1"/>
  <c r="G87" i="6"/>
  <c r="X87" i="6" s="1"/>
  <c r="Z60" i="5"/>
  <c r="Z61" i="5"/>
  <c r="R33" i="5"/>
  <c r="AF42" i="6" l="1"/>
  <c r="U42" i="6"/>
  <c r="O42" i="6"/>
  <c r="T43" i="6"/>
  <c r="M43" i="6"/>
  <c r="N42" i="6"/>
  <c r="N43" i="6" s="1"/>
  <c r="V42" i="6"/>
  <c r="W42" i="6" s="1"/>
  <c r="Y42" i="6" s="1"/>
  <c r="N51" i="7"/>
  <c r="O51" i="7"/>
  <c r="Z50" i="7"/>
  <c r="U51" i="7"/>
  <c r="T52" i="7"/>
  <c r="AF51" i="7"/>
  <c r="V51" i="7"/>
  <c r="W51" i="7" s="1"/>
  <c r="Y51" i="7" s="1"/>
  <c r="I52" i="7"/>
  <c r="J52" i="7"/>
  <c r="Q34" i="5"/>
  <c r="F88" i="7"/>
  <c r="F88" i="6"/>
  <c r="X63" i="5"/>
  <c r="Z62" i="5"/>
  <c r="X62" i="5"/>
  <c r="F89" i="7"/>
  <c r="F89" i="6"/>
  <c r="Z63" i="5"/>
  <c r="O43" i="6" l="1"/>
  <c r="P43" i="6" s="1"/>
  <c r="AH43" i="6" s="1"/>
  <c r="H44" i="6"/>
  <c r="K44" i="6" s="1"/>
  <c r="Z42" i="6"/>
  <c r="AB42" i="6" s="1"/>
  <c r="AC42" i="6" s="1"/>
  <c r="AF43" i="6"/>
  <c r="U43" i="6"/>
  <c r="V43" i="6"/>
  <c r="W43" i="6" s="1"/>
  <c r="Y43" i="6" s="1"/>
  <c r="J44" i="6"/>
  <c r="T44" i="6"/>
  <c r="I44" i="6"/>
  <c r="P51" i="7"/>
  <c r="AH51" i="7" s="1"/>
  <c r="H52" i="7"/>
  <c r="K52" i="7" s="1"/>
  <c r="L52" i="7" s="1"/>
  <c r="AB50" i="7"/>
  <c r="AC50" i="7" s="1"/>
  <c r="Z51" i="7"/>
  <c r="AB51" i="7" s="1"/>
  <c r="AC51" i="7" s="1"/>
  <c r="W65" i="5"/>
  <c r="W64" i="5"/>
  <c r="G88" i="7"/>
  <c r="X88" i="7" s="1"/>
  <c r="G88" i="6"/>
  <c r="X88" i="6" s="1"/>
  <c r="R34" i="5"/>
  <c r="G89" i="7"/>
  <c r="X89" i="7" s="1"/>
  <c r="G89" i="6"/>
  <c r="X89" i="6" s="1"/>
  <c r="L44" i="6" l="1"/>
  <c r="Z43" i="6"/>
  <c r="AB43" i="6" s="1"/>
  <c r="AC43" i="6" s="1"/>
  <c r="L53" i="7"/>
  <c r="M52" i="7"/>
  <c r="O52" i="7" s="1"/>
  <c r="AF52" i="7"/>
  <c r="U52" i="7"/>
  <c r="T53" i="7"/>
  <c r="N52" i="7"/>
  <c r="V52" i="7"/>
  <c r="W52" i="7" s="1"/>
  <c r="Y52" i="7" s="1"/>
  <c r="F90" i="7"/>
  <c r="F90" i="6"/>
  <c r="X65" i="5"/>
  <c r="Y64" i="5"/>
  <c r="Y65" i="5" s="1"/>
  <c r="Z65" i="5" s="1"/>
  <c r="X64" i="5"/>
  <c r="F91" i="7"/>
  <c r="F91" i="6"/>
  <c r="M53" i="7" l="1"/>
  <c r="L45" i="6"/>
  <c r="M44" i="6"/>
  <c r="O53" i="7"/>
  <c r="N53" i="7"/>
  <c r="P53" i="7"/>
  <c r="AH53" i="7" s="1"/>
  <c r="H54" i="7"/>
  <c r="K54" i="7" s="1"/>
  <c r="Z52" i="7"/>
  <c r="AB52" i="7" s="1"/>
  <c r="AC52" i="7" s="1"/>
  <c r="V53" i="7"/>
  <c r="W53" i="7" s="1"/>
  <c r="Y53" i="7" s="1"/>
  <c r="I54" i="7"/>
  <c r="J54" i="7"/>
  <c r="T54" i="7"/>
  <c r="U53" i="7"/>
  <c r="AF53" i="7"/>
  <c r="G91" i="7"/>
  <c r="X91" i="7" s="1"/>
  <c r="G91" i="6"/>
  <c r="X91" i="6" s="1"/>
  <c r="G90" i="7"/>
  <c r="X90" i="7" s="1"/>
  <c r="G90" i="6"/>
  <c r="X90" i="6" s="1"/>
  <c r="Z64" i="5"/>
  <c r="U44" i="6" l="1"/>
  <c r="T45" i="6"/>
  <c r="V44" i="6"/>
  <c r="W44" i="6" s="1"/>
  <c r="Y44" i="6" s="1"/>
  <c r="M45" i="6"/>
  <c r="O44" i="6"/>
  <c r="AF44" i="6"/>
  <c r="N44" i="6"/>
  <c r="L54" i="7"/>
  <c r="L55" i="7" s="1"/>
  <c r="Z53" i="7"/>
  <c r="AB53" i="7" s="1"/>
  <c r="AC53" i="7" s="1"/>
  <c r="M54" i="7" l="1"/>
  <c r="N45" i="6"/>
  <c r="O45" i="6"/>
  <c r="T46" i="6"/>
  <c r="V45" i="6"/>
  <c r="W45" i="6" s="1"/>
  <c r="Y45" i="6" s="1"/>
  <c r="U45" i="6"/>
  <c r="AF45" i="6"/>
  <c r="J46" i="6"/>
  <c r="I46" i="6"/>
  <c r="Z44" i="6"/>
  <c r="AB44" i="6" s="1"/>
  <c r="AC44" i="6" s="1"/>
  <c r="V54" i="7"/>
  <c r="W54" i="7" s="1"/>
  <c r="Y54" i="7" s="1"/>
  <c r="M55" i="7"/>
  <c r="AF54" i="7"/>
  <c r="U54" i="7"/>
  <c r="T55" i="7"/>
  <c r="O54" i="7"/>
  <c r="N54" i="7"/>
  <c r="Z45" i="6" l="1"/>
  <c r="AB45" i="6" s="1"/>
  <c r="AC45" i="6" s="1"/>
  <c r="H46" i="6"/>
  <c r="K46" i="6" s="1"/>
  <c r="L46" i="6" s="1"/>
  <c r="P45" i="6"/>
  <c r="AH45" i="6" s="1"/>
  <c r="N55" i="7"/>
  <c r="O55" i="7"/>
  <c r="Z54" i="7"/>
  <c r="AB54" i="7" s="1"/>
  <c r="I56" i="7"/>
  <c r="V55" i="7"/>
  <c r="W55" i="7" s="1"/>
  <c r="Y55" i="7" s="1"/>
  <c r="T56" i="7"/>
  <c r="AF55" i="7"/>
  <c r="U55" i="7"/>
  <c r="J56" i="7"/>
  <c r="M46" i="6" l="1"/>
  <c r="L47" i="6"/>
  <c r="Z55" i="7"/>
  <c r="P55" i="7"/>
  <c r="AH55" i="7" s="1"/>
  <c r="H56" i="7"/>
  <c r="K56" i="7" s="1"/>
  <c r="L56" i="7" s="1"/>
  <c r="AC54" i="7"/>
  <c r="AB55" i="7"/>
  <c r="AC55" i="7" s="1"/>
  <c r="U46" i="6" l="1"/>
  <c r="V46" i="6"/>
  <c r="W46" i="6" s="1"/>
  <c r="Y46" i="6" s="1"/>
  <c r="M47" i="6"/>
  <c r="T47" i="6"/>
  <c r="O46" i="6"/>
  <c r="O47" i="6" s="1"/>
  <c r="AF46" i="6"/>
  <c r="N46" i="6"/>
  <c r="N47" i="6" s="1"/>
  <c r="M56" i="7"/>
  <c r="L57" i="7"/>
  <c r="P47" i="6" l="1"/>
  <c r="AH47" i="6" s="1"/>
  <c r="H48" i="6"/>
  <c r="K48" i="6" s="1"/>
  <c r="T48" i="6"/>
  <c r="J48" i="6"/>
  <c r="AF47" i="6"/>
  <c r="V47" i="6"/>
  <c r="W47" i="6" s="1"/>
  <c r="Y47" i="6" s="1"/>
  <c r="U47" i="6"/>
  <c r="I48" i="6"/>
  <c r="Z46" i="6"/>
  <c r="AB46" i="6" s="1"/>
  <c r="AC46" i="6" s="1"/>
  <c r="T57" i="7"/>
  <c r="O56" i="7"/>
  <c r="AF56" i="7"/>
  <c r="U56" i="7"/>
  <c r="N56" i="7"/>
  <c r="M57" i="7"/>
  <c r="V56" i="7"/>
  <c r="W56" i="7" s="1"/>
  <c r="Y56" i="7" s="1"/>
  <c r="Z47" i="6" l="1"/>
  <c r="AB47" i="6" s="1"/>
  <c r="AC47" i="6" s="1"/>
  <c r="L48" i="6"/>
  <c r="T58" i="7"/>
  <c r="U57" i="7"/>
  <c r="V57" i="7"/>
  <c r="W57" i="7" s="1"/>
  <c r="Y57" i="7" s="1"/>
  <c r="AF57" i="7"/>
  <c r="I58" i="7"/>
  <c r="J58" i="7"/>
  <c r="N57" i="7"/>
  <c r="Z56" i="7"/>
  <c r="AB56" i="7" s="1"/>
  <c r="AC56" i="7" s="1"/>
  <c r="O57" i="7"/>
  <c r="L49" i="6" l="1"/>
  <c r="M48" i="6"/>
  <c r="H58" i="7"/>
  <c r="K58" i="7" s="1"/>
  <c r="P57" i="7"/>
  <c r="AH57" i="7" s="1"/>
  <c r="L58" i="7"/>
  <c r="Z57" i="7"/>
  <c r="AB57" i="7" s="1"/>
  <c r="AC57" i="7" s="1"/>
  <c r="V48" i="6" l="1"/>
  <c r="W48" i="6" s="1"/>
  <c r="Y48" i="6" s="1"/>
  <c r="T49" i="6"/>
  <c r="AF48" i="6"/>
  <c r="N48" i="6"/>
  <c r="U48" i="6"/>
  <c r="Z48" i="6" s="1"/>
  <c r="AB48" i="6" s="1"/>
  <c r="AC48" i="6" s="1"/>
  <c r="M49" i="6"/>
  <c r="O48" i="6"/>
  <c r="L59" i="7"/>
  <c r="M58" i="7"/>
  <c r="J50" i="6" l="1"/>
  <c r="U49" i="6"/>
  <c r="AF49" i="6"/>
  <c r="V49" i="6"/>
  <c r="W49" i="6" s="1"/>
  <c r="Y49" i="6" s="1"/>
  <c r="T50" i="6"/>
  <c r="I50" i="6"/>
  <c r="O49" i="6"/>
  <c r="N49" i="6"/>
  <c r="M59" i="7"/>
  <c r="V58" i="7"/>
  <c r="W58" i="7" s="1"/>
  <c r="Y58" i="7" s="1"/>
  <c r="AF58" i="7"/>
  <c r="T59" i="7"/>
  <c r="U58" i="7"/>
  <c r="O58" i="7"/>
  <c r="N58" i="7"/>
  <c r="Z58" i="7" l="1"/>
  <c r="Z49" i="6"/>
  <c r="AB49" i="6" s="1"/>
  <c r="AC49" i="6" s="1"/>
  <c r="P49" i="6"/>
  <c r="AH49" i="6" s="1"/>
  <c r="H50" i="6"/>
  <c r="K50" i="6" s="1"/>
  <c r="L50" i="6" s="1"/>
  <c r="N59" i="7"/>
  <c r="O59" i="7"/>
  <c r="P59" i="7" s="1"/>
  <c r="AH59" i="7" s="1"/>
  <c r="AB58" i="7"/>
  <c r="AC58" i="7" s="1"/>
  <c r="V59" i="7"/>
  <c r="W59" i="7" s="1"/>
  <c r="Y59" i="7" s="1"/>
  <c r="AF59" i="7"/>
  <c r="T60" i="7"/>
  <c r="I60" i="7"/>
  <c r="J60" i="7"/>
  <c r="U59" i="7"/>
  <c r="L51" i="6" l="1"/>
  <c r="M50" i="6"/>
  <c r="Z59" i="7"/>
  <c r="AB59" i="7" s="1"/>
  <c r="AC59" i="7" s="1"/>
  <c r="H60" i="7"/>
  <c r="K60" i="7" s="1"/>
  <c r="L60" i="7" s="1"/>
  <c r="U50" i="6" l="1"/>
  <c r="AF50" i="6"/>
  <c r="M51" i="6"/>
  <c r="V50" i="6"/>
  <c r="W50" i="6" s="1"/>
  <c r="Y50" i="6" s="1"/>
  <c r="T51" i="6"/>
  <c r="N50" i="6"/>
  <c r="N51" i="6" s="1"/>
  <c r="O50" i="6"/>
  <c r="O51" i="6" s="1"/>
  <c r="L61" i="7"/>
  <c r="M60" i="7"/>
  <c r="U60" i="7" s="1"/>
  <c r="H52" i="6" l="1"/>
  <c r="K52" i="6" s="1"/>
  <c r="P51" i="6"/>
  <c r="AH51" i="6" s="1"/>
  <c r="AF51" i="6"/>
  <c r="J52" i="6"/>
  <c r="U51" i="6"/>
  <c r="T52" i="6"/>
  <c r="V51" i="6"/>
  <c r="W51" i="6" s="1"/>
  <c r="Y51" i="6" s="1"/>
  <c r="I52" i="6"/>
  <c r="Z50" i="6"/>
  <c r="AB50" i="6" s="1"/>
  <c r="AC50" i="6" s="1"/>
  <c r="V60" i="7"/>
  <c r="W60" i="7" s="1"/>
  <c r="Y60" i="7" s="1"/>
  <c r="Z60" i="7" s="1"/>
  <c r="AB60" i="7" s="1"/>
  <c r="AC60" i="7" s="1"/>
  <c r="N60" i="7"/>
  <c r="O60" i="7"/>
  <c r="O61" i="7" s="1"/>
  <c r="AF60" i="7"/>
  <c r="M61" i="7"/>
  <c r="U61" i="7" s="1"/>
  <c r="T61" i="7"/>
  <c r="V61" i="7"/>
  <c r="W61" i="7" s="1"/>
  <c r="Y61" i="7" s="1"/>
  <c r="AF61" i="7"/>
  <c r="J62" i="7"/>
  <c r="Z51" i="6" l="1"/>
  <c r="AB51" i="6" s="1"/>
  <c r="AC51" i="6" s="1"/>
  <c r="L52" i="6"/>
  <c r="Z61" i="7"/>
  <c r="AB61" i="7" s="1"/>
  <c r="AC61" i="7" s="1"/>
  <c r="I62" i="7"/>
  <c r="T62" i="7"/>
  <c r="N61" i="7"/>
  <c r="M52" i="6" l="1"/>
  <c r="L53" i="6"/>
  <c r="P61" i="7"/>
  <c r="AH61" i="7" s="1"/>
  <c r="H62" i="7"/>
  <c r="K62" i="7" s="1"/>
  <c r="L62" i="7" s="1"/>
  <c r="L63" i="7" s="1"/>
  <c r="T53" i="6" l="1"/>
  <c r="U52" i="6"/>
  <c r="O52" i="6"/>
  <c r="M53" i="6"/>
  <c r="AF52" i="6"/>
  <c r="N52" i="6"/>
  <c r="N53" i="6" s="1"/>
  <c r="V52" i="6"/>
  <c r="W52" i="6" s="1"/>
  <c r="Y52" i="6" s="1"/>
  <c r="M62" i="7"/>
  <c r="U62" i="7" s="1"/>
  <c r="V62" i="7"/>
  <c r="W62" i="7" s="1"/>
  <c r="Y62" i="7" s="1"/>
  <c r="AF62" i="7"/>
  <c r="AF53" i="6" l="1"/>
  <c r="V53" i="6"/>
  <c r="W53" i="6" s="1"/>
  <c r="Y53" i="6" s="1"/>
  <c r="U53" i="6"/>
  <c r="T54" i="6"/>
  <c r="I54" i="6"/>
  <c r="J54" i="6"/>
  <c r="O53" i="6"/>
  <c r="Z52" i="6"/>
  <c r="AB52" i="6" s="1"/>
  <c r="AC52" i="6" s="1"/>
  <c r="T63" i="7"/>
  <c r="M63" i="7"/>
  <c r="J64" i="7" s="1"/>
  <c r="N62" i="7"/>
  <c r="N63" i="7" s="1"/>
  <c r="O62" i="7"/>
  <c r="O63" i="7" s="1"/>
  <c r="Z62" i="7"/>
  <c r="Z53" i="6" l="1"/>
  <c r="AB53" i="6" s="1"/>
  <c r="AC53" i="6" s="1"/>
  <c r="T64" i="7"/>
  <c r="V63" i="7"/>
  <c r="W63" i="7" s="1"/>
  <c r="Y63" i="7" s="1"/>
  <c r="I64" i="7"/>
  <c r="U63" i="7"/>
  <c r="AF63" i="7"/>
  <c r="P53" i="6"/>
  <c r="AH53" i="6" s="1"/>
  <c r="H54" i="6"/>
  <c r="K54" i="6" s="1"/>
  <c r="L54" i="6" s="1"/>
  <c r="Z63" i="7"/>
  <c r="AB63" i="7" s="1"/>
  <c r="AC63" i="7" s="1"/>
  <c r="AB62" i="7"/>
  <c r="AC62" i="7" s="1"/>
  <c r="H64" i="7"/>
  <c r="K64" i="7" s="1"/>
  <c r="L64" i="7" s="1"/>
  <c r="P63" i="7"/>
  <c r="AH63" i="7" s="1"/>
  <c r="L55" i="6" l="1"/>
  <c r="M54" i="6"/>
  <c r="M64" i="7"/>
  <c r="L65" i="7"/>
  <c r="U54" i="6" l="1"/>
  <c r="AF54" i="6"/>
  <c r="T55" i="6"/>
  <c r="V54" i="6"/>
  <c r="W54" i="6" s="1"/>
  <c r="Y54" i="6" s="1"/>
  <c r="M55" i="6"/>
  <c r="N54" i="6"/>
  <c r="O54" i="6"/>
  <c r="U64" i="7"/>
  <c r="V64" i="7"/>
  <c r="W64" i="7" s="1"/>
  <c r="Y64" i="7" s="1"/>
  <c r="AF64" i="7"/>
  <c r="M65" i="7"/>
  <c r="T65" i="7"/>
  <c r="O64" i="7"/>
  <c r="N64" i="7"/>
  <c r="AF55" i="6" l="1"/>
  <c r="J56" i="6"/>
  <c r="U55" i="6"/>
  <c r="T56" i="6"/>
  <c r="V55" i="6"/>
  <c r="W55" i="6" s="1"/>
  <c r="Y55" i="6" s="1"/>
  <c r="I56" i="6"/>
  <c r="N55" i="6"/>
  <c r="O55" i="6"/>
  <c r="Z54" i="6"/>
  <c r="AB54" i="6" s="1"/>
  <c r="AC54" i="6" s="1"/>
  <c r="N65" i="7"/>
  <c r="O65" i="7"/>
  <c r="I66" i="7"/>
  <c r="J66" i="7"/>
  <c r="U65" i="7"/>
  <c r="AF65" i="7"/>
  <c r="V65" i="7"/>
  <c r="W65" i="7" s="1"/>
  <c r="Y65" i="7" s="1"/>
  <c r="T66" i="7"/>
  <c r="Z64" i="7"/>
  <c r="Z55" i="6" l="1"/>
  <c r="AB55" i="6" s="1"/>
  <c r="AC55" i="6" s="1"/>
  <c r="H56" i="6"/>
  <c r="K56" i="6" s="1"/>
  <c r="L56" i="6" s="1"/>
  <c r="P55" i="6"/>
  <c r="AH55" i="6" s="1"/>
  <c r="H66" i="7"/>
  <c r="K66" i="7" s="1"/>
  <c r="L66" i="7" s="1"/>
  <c r="P65" i="7"/>
  <c r="AH65" i="7" s="1"/>
  <c r="AB64" i="7"/>
  <c r="AC64" i="7" s="1"/>
  <c r="Z65" i="7"/>
  <c r="AB65" i="7" s="1"/>
  <c r="AC65" i="7" s="1"/>
  <c r="L57" i="6" l="1"/>
  <c r="M56" i="6"/>
  <c r="L67" i="7"/>
  <c r="M66" i="7"/>
  <c r="U66" i="7" s="1"/>
  <c r="N66" i="7"/>
  <c r="M67" i="7"/>
  <c r="V66" i="7"/>
  <c r="W66" i="7" s="1"/>
  <c r="Y66" i="7" s="1"/>
  <c r="AF66" i="7"/>
  <c r="M57" i="6" l="1"/>
  <c r="T57" i="6"/>
  <c r="AF56" i="6"/>
  <c r="U56" i="6"/>
  <c r="V56" i="6"/>
  <c r="W56" i="6" s="1"/>
  <c r="Y56" i="6" s="1"/>
  <c r="O56" i="6"/>
  <c r="O57" i="6" s="1"/>
  <c r="N56" i="6"/>
  <c r="N57" i="6" s="1"/>
  <c r="T67" i="7"/>
  <c r="O66" i="7"/>
  <c r="O67" i="7" s="1"/>
  <c r="AF67" i="7"/>
  <c r="J68" i="7"/>
  <c r="V67" i="7"/>
  <c r="W67" i="7" s="1"/>
  <c r="Y67" i="7" s="1"/>
  <c r="T68" i="7"/>
  <c r="U67" i="7"/>
  <c r="I68" i="7"/>
  <c r="N67" i="7"/>
  <c r="Z66" i="7"/>
  <c r="AB66" i="7" s="1"/>
  <c r="AC66" i="7" s="1"/>
  <c r="P57" i="6" l="1"/>
  <c r="AH57" i="6" s="1"/>
  <c r="H58" i="6"/>
  <c r="K58" i="6" s="1"/>
  <c r="Z56" i="6"/>
  <c r="AB56" i="6" s="1"/>
  <c r="AC56" i="6" s="1"/>
  <c r="I58" i="6"/>
  <c r="J58" i="6"/>
  <c r="V57" i="6"/>
  <c r="W57" i="6" s="1"/>
  <c r="Y57" i="6" s="1"/>
  <c r="AF57" i="6"/>
  <c r="T58" i="6"/>
  <c r="U57" i="6"/>
  <c r="Z67" i="7"/>
  <c r="AB67" i="7" s="1"/>
  <c r="H68" i="7"/>
  <c r="K68" i="7" s="1"/>
  <c r="L68" i="7" s="1"/>
  <c r="P67" i="7"/>
  <c r="AH67" i="7" s="1"/>
  <c r="Z57" i="6" l="1"/>
  <c r="AB57" i="6" s="1"/>
  <c r="AC57" i="6" s="1"/>
  <c r="L58" i="6"/>
  <c r="L59" i="6" s="1"/>
  <c r="M58" i="6"/>
  <c r="AC67" i="7"/>
  <c r="M68" i="7"/>
  <c r="L69" i="7"/>
  <c r="V58" i="6" l="1"/>
  <c r="W58" i="6" s="1"/>
  <c r="Y58" i="6" s="1"/>
  <c r="T59" i="6"/>
  <c r="AF58" i="6"/>
  <c r="U58" i="6"/>
  <c r="Z58" i="6" s="1"/>
  <c r="AB58" i="6" s="1"/>
  <c r="AC58" i="6" s="1"/>
  <c r="M59" i="6"/>
  <c r="O58" i="6"/>
  <c r="N58" i="6"/>
  <c r="V68" i="7"/>
  <c r="W68" i="7" s="1"/>
  <c r="Y68" i="7" s="1"/>
  <c r="M69" i="7"/>
  <c r="T69" i="7"/>
  <c r="AF68" i="7"/>
  <c r="U68" i="7"/>
  <c r="N68" i="7"/>
  <c r="O68" i="7"/>
  <c r="O69" i="7" l="1"/>
  <c r="N69" i="7"/>
  <c r="N59" i="6"/>
  <c r="O59" i="6"/>
  <c r="H60" i="6"/>
  <c r="K60" i="6" s="1"/>
  <c r="P59" i="6"/>
  <c r="AH59" i="6" s="1"/>
  <c r="T60" i="6"/>
  <c r="I60" i="6"/>
  <c r="J60" i="6"/>
  <c r="U59" i="6"/>
  <c r="AF59" i="6"/>
  <c r="V59" i="6"/>
  <c r="W59" i="6" s="1"/>
  <c r="Y59" i="6" s="1"/>
  <c r="Z68" i="7"/>
  <c r="AB68" i="7" s="1"/>
  <c r="AC68" i="7" s="1"/>
  <c r="AF69" i="7"/>
  <c r="U69" i="7"/>
  <c r="T70" i="7"/>
  <c r="V69" i="7"/>
  <c r="W69" i="7" s="1"/>
  <c r="Y69" i="7" s="1"/>
  <c r="I70" i="7"/>
  <c r="J70" i="7"/>
  <c r="H70" i="7"/>
  <c r="K70" i="7" s="1"/>
  <c r="P69" i="7"/>
  <c r="AH69" i="7" s="1"/>
  <c r="L60" i="6" l="1"/>
  <c r="M60" i="6" s="1"/>
  <c r="L61" i="6"/>
  <c r="Z59" i="6"/>
  <c r="AB59" i="6" s="1"/>
  <c r="AC59" i="6" s="1"/>
  <c r="Z69" i="7"/>
  <c r="AB69" i="7" s="1"/>
  <c r="AC69" i="7" s="1"/>
  <c r="L70" i="7"/>
  <c r="T61" i="6" l="1"/>
  <c r="N60" i="6"/>
  <c r="O60" i="6"/>
  <c r="V60" i="6"/>
  <c r="W60" i="6" s="1"/>
  <c r="Y60" i="6" s="1"/>
  <c r="M61" i="6"/>
  <c r="U60" i="6"/>
  <c r="Z60" i="6" s="1"/>
  <c r="AB60" i="6" s="1"/>
  <c r="AC60" i="6" s="1"/>
  <c r="AF60" i="6"/>
  <c r="L71" i="7"/>
  <c r="M70" i="7"/>
  <c r="O61" i="6" l="1"/>
  <c r="U61" i="6"/>
  <c r="J62" i="6"/>
  <c r="V61" i="6"/>
  <c r="W61" i="6" s="1"/>
  <c r="Y61" i="6" s="1"/>
  <c r="AF61" i="6"/>
  <c r="T62" i="6"/>
  <c r="I62" i="6"/>
  <c r="N61" i="6"/>
  <c r="AF70" i="7"/>
  <c r="U70" i="7"/>
  <c r="O70" i="7"/>
  <c r="V70" i="7"/>
  <c r="W70" i="7" s="1"/>
  <c r="Y70" i="7" s="1"/>
  <c r="T71" i="7"/>
  <c r="N70" i="7"/>
  <c r="M71" i="7"/>
  <c r="P61" i="6" l="1"/>
  <c r="AH61" i="6" s="1"/>
  <c r="H62" i="6"/>
  <c r="K62" i="6" s="1"/>
  <c r="L62" i="6" s="1"/>
  <c r="Z61" i="6"/>
  <c r="AB61" i="6" s="1"/>
  <c r="AC61" i="6" s="1"/>
  <c r="Z70" i="7"/>
  <c r="AB70" i="7" s="1"/>
  <c r="AC70" i="7" s="1"/>
  <c r="N71" i="7"/>
  <c r="V71" i="7"/>
  <c r="W71" i="7" s="1"/>
  <c r="Y71" i="7" s="1"/>
  <c r="J72" i="7"/>
  <c r="U71" i="7"/>
  <c r="AF71" i="7"/>
  <c r="T72" i="7"/>
  <c r="I72" i="7"/>
  <c r="O71" i="7"/>
  <c r="M62" i="6" l="1"/>
  <c r="L63" i="6"/>
  <c r="Z71" i="7"/>
  <c r="AB71" i="7" s="1"/>
  <c r="AC71" i="7" s="1"/>
  <c r="H72" i="7"/>
  <c r="K72" i="7" s="1"/>
  <c r="L72" i="7" s="1"/>
  <c r="P71" i="7"/>
  <c r="AH71" i="7" s="1"/>
  <c r="T63" i="6" l="1"/>
  <c r="O62" i="6"/>
  <c r="M63" i="6"/>
  <c r="U62" i="6"/>
  <c r="V62" i="6"/>
  <c r="W62" i="6" s="1"/>
  <c r="Y62" i="6" s="1"/>
  <c r="AF62" i="6"/>
  <c r="N62" i="6"/>
  <c r="N63" i="6" s="1"/>
  <c r="L73" i="7"/>
  <c r="M72" i="7"/>
  <c r="O63" i="6" l="1"/>
  <c r="H64" i="6" s="1"/>
  <c r="K64" i="6" s="1"/>
  <c r="P63" i="6"/>
  <c r="AH63" i="6" s="1"/>
  <c r="Z62" i="6"/>
  <c r="AB62" i="6" s="1"/>
  <c r="AC62" i="6" s="1"/>
  <c r="AF63" i="6"/>
  <c r="V63" i="6"/>
  <c r="W63" i="6" s="1"/>
  <c r="Y63" i="6" s="1"/>
  <c r="U63" i="6"/>
  <c r="T64" i="6"/>
  <c r="I64" i="6"/>
  <c r="J64" i="6"/>
  <c r="O72" i="7"/>
  <c r="M73" i="7"/>
  <c r="V72" i="7"/>
  <c r="W72" i="7" s="1"/>
  <c r="Y72" i="7" s="1"/>
  <c r="U72" i="7"/>
  <c r="AF72" i="7"/>
  <c r="T73" i="7"/>
  <c r="N72" i="7"/>
  <c r="L64" i="6" l="1"/>
  <c r="L65" i="6" s="1"/>
  <c r="Z63" i="6"/>
  <c r="AB63" i="6" s="1"/>
  <c r="AC63" i="6" s="1"/>
  <c r="Z72" i="7"/>
  <c r="AB72" i="7" s="1"/>
  <c r="AC72" i="7" s="1"/>
  <c r="N73" i="7"/>
  <c r="T74" i="7"/>
  <c r="I74" i="7"/>
  <c r="AF73" i="7"/>
  <c r="J74" i="7"/>
  <c r="U73" i="7"/>
  <c r="V73" i="7"/>
  <c r="W73" i="7" s="1"/>
  <c r="Y73" i="7" s="1"/>
  <c r="O73" i="7"/>
  <c r="M64" i="6" l="1"/>
  <c r="P73" i="7"/>
  <c r="AH73" i="7" s="1"/>
  <c r="Z73" i="7"/>
  <c r="AB73" i="7" s="1"/>
  <c r="AC73" i="7" s="1"/>
  <c r="H74" i="7"/>
  <c r="K74" i="7" s="1"/>
  <c r="L74" i="7" s="1"/>
  <c r="T65" i="6" l="1"/>
  <c r="U64" i="6"/>
  <c r="AF64" i="6"/>
  <c r="V64" i="6"/>
  <c r="W64" i="6" s="1"/>
  <c r="Y64" i="6" s="1"/>
  <c r="M65" i="6"/>
  <c r="O64" i="6"/>
  <c r="N64" i="6"/>
  <c r="L75" i="7"/>
  <c r="M74" i="7"/>
  <c r="N65" i="6" l="1"/>
  <c r="Z64" i="6"/>
  <c r="AB64" i="6" s="1"/>
  <c r="AC64" i="6" s="1"/>
  <c r="I66" i="6"/>
  <c r="V65" i="6"/>
  <c r="W65" i="6" s="1"/>
  <c r="Y65" i="6" s="1"/>
  <c r="AF65" i="6"/>
  <c r="J66" i="6"/>
  <c r="T66" i="6"/>
  <c r="U65" i="6"/>
  <c r="O65" i="6"/>
  <c r="AF74" i="7"/>
  <c r="V74" i="7"/>
  <c r="W74" i="7" s="1"/>
  <c r="Y74" i="7" s="1"/>
  <c r="N74" i="7"/>
  <c r="U74" i="7"/>
  <c r="T75" i="7"/>
  <c r="M75" i="7"/>
  <c r="O74" i="7"/>
  <c r="H66" i="6" l="1"/>
  <c r="K66" i="6" s="1"/>
  <c r="Z65" i="6"/>
  <c r="AB65" i="6" s="1"/>
  <c r="AC65" i="6" s="1"/>
  <c r="L66" i="6"/>
  <c r="P65" i="6"/>
  <c r="AH65" i="6" s="1"/>
  <c r="Z74" i="7"/>
  <c r="AB74" i="7" s="1"/>
  <c r="AC74" i="7" s="1"/>
  <c r="O75" i="7"/>
  <c r="J76" i="7"/>
  <c r="V75" i="7"/>
  <c r="W75" i="7" s="1"/>
  <c r="Y75" i="7" s="1"/>
  <c r="AF75" i="7"/>
  <c r="T76" i="7"/>
  <c r="I76" i="7"/>
  <c r="U75" i="7"/>
  <c r="Z75" i="7" s="1"/>
  <c r="AB75" i="7" s="1"/>
  <c r="AC75" i="7" s="1"/>
  <c r="N75" i="7"/>
  <c r="L67" i="6" l="1"/>
  <c r="M66" i="6"/>
  <c r="P75" i="7"/>
  <c r="AH75" i="7" s="1"/>
  <c r="H76" i="7"/>
  <c r="K76" i="7" s="1"/>
  <c r="L76" i="7" s="1"/>
  <c r="AF66" i="6" l="1"/>
  <c r="U66" i="6"/>
  <c r="T67" i="6"/>
  <c r="M67" i="6"/>
  <c r="N66" i="6"/>
  <c r="V66" i="6"/>
  <c r="W66" i="6" s="1"/>
  <c r="Y66" i="6" s="1"/>
  <c r="O66" i="6"/>
  <c r="O67" i="6" s="1"/>
  <c r="L77" i="7"/>
  <c r="M76" i="7"/>
  <c r="N67" i="6" l="1"/>
  <c r="P67" i="6"/>
  <c r="AH67" i="6" s="1"/>
  <c r="H68" i="6"/>
  <c r="K68" i="6" s="1"/>
  <c r="T68" i="6"/>
  <c r="J68" i="6"/>
  <c r="V67" i="6"/>
  <c r="W67" i="6" s="1"/>
  <c r="Y67" i="6" s="1"/>
  <c r="U67" i="6"/>
  <c r="I68" i="6"/>
  <c r="AF67" i="6"/>
  <c r="Z66" i="6"/>
  <c r="AB66" i="6" s="1"/>
  <c r="AC66" i="6" s="1"/>
  <c r="U76" i="7"/>
  <c r="T77" i="7"/>
  <c r="M77" i="7"/>
  <c r="AF76" i="7"/>
  <c r="V76" i="7"/>
  <c r="W76" i="7" s="1"/>
  <c r="Y76" i="7" s="1"/>
  <c r="O76" i="7"/>
  <c r="N76" i="7"/>
  <c r="Z67" i="6" l="1"/>
  <c r="AB67" i="6" s="1"/>
  <c r="AC67" i="6" s="1"/>
  <c r="L68" i="6"/>
  <c r="N77" i="7"/>
  <c r="O77" i="7"/>
  <c r="P77" i="7"/>
  <c r="AH77" i="7" s="1"/>
  <c r="H78" i="7"/>
  <c r="K78" i="7" s="1"/>
  <c r="J78" i="7"/>
  <c r="V77" i="7"/>
  <c r="W77" i="7" s="1"/>
  <c r="Y77" i="7" s="1"/>
  <c r="T78" i="7"/>
  <c r="I78" i="7"/>
  <c r="U77" i="7"/>
  <c r="Z77" i="7" s="1"/>
  <c r="AB77" i="7" s="1"/>
  <c r="AC77" i="7" s="1"/>
  <c r="AF77" i="7"/>
  <c r="Z76" i="7"/>
  <c r="AB76" i="7" s="1"/>
  <c r="AC76" i="7" s="1"/>
  <c r="L69" i="6" l="1"/>
  <c r="M68" i="6"/>
  <c r="L78" i="7"/>
  <c r="T69" i="6" l="1"/>
  <c r="AF68" i="6"/>
  <c r="M69" i="6"/>
  <c r="N68" i="6"/>
  <c r="O68" i="6"/>
  <c r="O69" i="6" s="1"/>
  <c r="V68" i="6"/>
  <c r="W68" i="6" s="1"/>
  <c r="Y68" i="6" s="1"/>
  <c r="U68" i="6"/>
  <c r="L79" i="7"/>
  <c r="M78" i="7"/>
  <c r="N69" i="6" l="1"/>
  <c r="P69" i="6" s="1"/>
  <c r="AH69" i="6" s="1"/>
  <c r="Z68" i="6"/>
  <c r="AB68" i="6" s="1"/>
  <c r="AC68" i="6" s="1"/>
  <c r="H70" i="6"/>
  <c r="K70" i="6" s="1"/>
  <c r="U69" i="6"/>
  <c r="T70" i="6"/>
  <c r="I70" i="6"/>
  <c r="J70" i="6"/>
  <c r="AF69" i="6"/>
  <c r="V69" i="6"/>
  <c r="W69" i="6" s="1"/>
  <c r="Y69" i="6" s="1"/>
  <c r="AF78" i="7"/>
  <c r="M79" i="7"/>
  <c r="T79" i="7"/>
  <c r="V78" i="7"/>
  <c r="W78" i="7" s="1"/>
  <c r="Y78" i="7" s="1"/>
  <c r="U78" i="7"/>
  <c r="N78" i="7"/>
  <c r="O78" i="7"/>
  <c r="Z69" i="6" l="1"/>
  <c r="AB69" i="6" s="1"/>
  <c r="AC69" i="6" s="1"/>
  <c r="L70" i="6"/>
  <c r="O79" i="7"/>
  <c r="N79" i="7"/>
  <c r="H80" i="7" s="1"/>
  <c r="K80" i="7" s="1"/>
  <c r="Z78" i="7"/>
  <c r="AB78" i="7" s="1"/>
  <c r="AC78" i="7" s="1"/>
  <c r="P79" i="7"/>
  <c r="AH79" i="7" s="1"/>
  <c r="V79" i="7"/>
  <c r="W79" i="7" s="1"/>
  <c r="Y79" i="7" s="1"/>
  <c r="U79" i="7"/>
  <c r="T80" i="7"/>
  <c r="AF79" i="7"/>
  <c r="I80" i="7"/>
  <c r="J80" i="7"/>
  <c r="M70" i="6" l="1"/>
  <c r="L71" i="6"/>
  <c r="L80" i="7"/>
  <c r="L81" i="7" s="1"/>
  <c r="Z79" i="7"/>
  <c r="AB79" i="7" s="1"/>
  <c r="AC79" i="7" s="1"/>
  <c r="AF70" i="6" l="1"/>
  <c r="U70" i="6"/>
  <c r="M71" i="6"/>
  <c r="V70" i="6"/>
  <c r="W70" i="6" s="1"/>
  <c r="Y70" i="6" s="1"/>
  <c r="O70" i="6"/>
  <c r="O71" i="6" s="1"/>
  <c r="T71" i="6"/>
  <c r="N70" i="6"/>
  <c r="N71" i="6" s="1"/>
  <c r="M80" i="7"/>
  <c r="M81" i="7" s="1"/>
  <c r="AF80" i="7"/>
  <c r="P71" i="6" l="1"/>
  <c r="AH71" i="6" s="1"/>
  <c r="H72" i="6"/>
  <c r="K72" i="6" s="1"/>
  <c r="AF71" i="6"/>
  <c r="U71" i="6"/>
  <c r="J72" i="6"/>
  <c r="I72" i="6"/>
  <c r="V71" i="6"/>
  <c r="W71" i="6" s="1"/>
  <c r="Y71" i="6" s="1"/>
  <c r="T72" i="6"/>
  <c r="Z70" i="6"/>
  <c r="AB70" i="6" s="1"/>
  <c r="AC70" i="6" s="1"/>
  <c r="V80" i="7"/>
  <c r="W80" i="7" s="1"/>
  <c r="Y80" i="7" s="1"/>
  <c r="O80" i="7"/>
  <c r="N80" i="7"/>
  <c r="T81" i="7"/>
  <c r="U80" i="7"/>
  <c r="Z80" i="7" s="1"/>
  <c r="AB80" i="7" s="1"/>
  <c r="AC80" i="7" s="1"/>
  <c r="N81" i="7"/>
  <c r="O81" i="7"/>
  <c r="J82" i="7"/>
  <c r="V81" i="7"/>
  <c r="W81" i="7" s="1"/>
  <c r="Y81" i="7" s="1"/>
  <c r="T82" i="7"/>
  <c r="AF81" i="7"/>
  <c r="U81" i="7"/>
  <c r="I82" i="7"/>
  <c r="L72" i="6" l="1"/>
  <c r="Z71" i="6"/>
  <c r="AB71" i="6" s="1"/>
  <c r="AC71" i="6" s="1"/>
  <c r="P81" i="7"/>
  <c r="AH81" i="7" s="1"/>
  <c r="H82" i="7"/>
  <c r="K82" i="7" s="1"/>
  <c r="L82" i="7" s="1"/>
  <c r="Z81" i="7"/>
  <c r="AB81" i="7" s="1"/>
  <c r="AC81" i="7" s="1"/>
  <c r="L73" i="6" l="1"/>
  <c r="M72" i="6"/>
  <c r="L83" i="7"/>
  <c r="M82" i="7"/>
  <c r="O72" i="6" l="1"/>
  <c r="T73" i="6"/>
  <c r="AF72" i="6"/>
  <c r="V72" i="6"/>
  <c r="W72" i="6" s="1"/>
  <c r="Y72" i="6" s="1"/>
  <c r="N72" i="6"/>
  <c r="M73" i="6"/>
  <c r="U72" i="6"/>
  <c r="Z72" i="6" s="1"/>
  <c r="AB72" i="6" s="1"/>
  <c r="AC72" i="6" s="1"/>
  <c r="N82" i="7"/>
  <c r="T83" i="7"/>
  <c r="U82" i="7"/>
  <c r="M83" i="7"/>
  <c r="AF82" i="7"/>
  <c r="V82" i="7"/>
  <c r="W82" i="7" s="1"/>
  <c r="Y82" i="7" s="1"/>
  <c r="O82" i="7"/>
  <c r="AF73" i="6" l="1"/>
  <c r="T74" i="6"/>
  <c r="V73" i="6"/>
  <c r="W73" i="6" s="1"/>
  <c r="Y73" i="6" s="1"/>
  <c r="I74" i="6"/>
  <c r="J74" i="6"/>
  <c r="U73" i="6"/>
  <c r="Z73" i="6" s="1"/>
  <c r="AB73" i="6" s="1"/>
  <c r="AC73" i="6" s="1"/>
  <c r="N73" i="6"/>
  <c r="O73" i="6"/>
  <c r="O83" i="7"/>
  <c r="T84" i="7"/>
  <c r="V83" i="7"/>
  <c r="W83" i="7" s="1"/>
  <c r="Y83" i="7" s="1"/>
  <c r="J84" i="7"/>
  <c r="U83" i="7"/>
  <c r="AF83" i="7"/>
  <c r="I84" i="7"/>
  <c r="Z82" i="7"/>
  <c r="AB82" i="7" s="1"/>
  <c r="AC82" i="7" s="1"/>
  <c r="N83" i="7"/>
  <c r="P73" i="6" l="1"/>
  <c r="AH73" i="6" s="1"/>
  <c r="H74" i="6"/>
  <c r="K74" i="6" s="1"/>
  <c r="L74" i="6" s="1"/>
  <c r="Z83" i="7"/>
  <c r="AB83" i="7" s="1"/>
  <c r="AC83" i="7" s="1"/>
  <c r="P83" i="7"/>
  <c r="AH83" i="7" s="1"/>
  <c r="H84" i="7"/>
  <c r="K84" i="7" s="1"/>
  <c r="L84" i="7" s="1"/>
  <c r="L75" i="6" l="1"/>
  <c r="M74" i="6"/>
  <c r="L85" i="7"/>
  <c r="M84" i="7"/>
  <c r="AF74" i="6" l="1"/>
  <c r="U74" i="6"/>
  <c r="T75" i="6"/>
  <c r="V74" i="6"/>
  <c r="W74" i="6" s="1"/>
  <c r="Y74" i="6" s="1"/>
  <c r="M75" i="6"/>
  <c r="N74" i="6"/>
  <c r="N75" i="6" s="1"/>
  <c r="O74" i="6"/>
  <c r="O75" i="6" s="1"/>
  <c r="M85" i="7"/>
  <c r="U84" i="7"/>
  <c r="AF84" i="7"/>
  <c r="T85" i="7"/>
  <c r="V84" i="7"/>
  <c r="W84" i="7" s="1"/>
  <c r="Y84" i="7" s="1"/>
  <c r="O84" i="7"/>
  <c r="N84" i="7"/>
  <c r="P75" i="6" l="1"/>
  <c r="AH75" i="6" s="1"/>
  <c r="H76" i="6"/>
  <c r="K76" i="6" s="1"/>
  <c r="V75" i="6"/>
  <c r="W75" i="6" s="1"/>
  <c r="Y75" i="6" s="1"/>
  <c r="J76" i="6"/>
  <c r="U75" i="6"/>
  <c r="Z75" i="6" s="1"/>
  <c r="AB75" i="6" s="1"/>
  <c r="AC75" i="6" s="1"/>
  <c r="I76" i="6"/>
  <c r="AF75" i="6"/>
  <c r="T76" i="6"/>
  <c r="Z74" i="6"/>
  <c r="AB74" i="6" s="1"/>
  <c r="AC74" i="6" s="1"/>
  <c r="O85" i="7"/>
  <c r="N85" i="7"/>
  <c r="Z84" i="7"/>
  <c r="AB84" i="7" s="1"/>
  <c r="AC84" i="7" s="1"/>
  <c r="P85" i="7"/>
  <c r="AH85" i="7" s="1"/>
  <c r="H86" i="7"/>
  <c r="K86" i="7" s="1"/>
  <c r="AF85" i="7"/>
  <c r="U85" i="7"/>
  <c r="T86" i="7"/>
  <c r="J86" i="7"/>
  <c r="V85" i="7"/>
  <c r="W85" i="7" s="1"/>
  <c r="Y85" i="7" s="1"/>
  <c r="I86" i="7"/>
  <c r="L76" i="6" l="1"/>
  <c r="Z85" i="7"/>
  <c r="AB85" i="7" s="1"/>
  <c r="AC85" i="7" s="1"/>
  <c r="L86" i="7"/>
  <c r="L77" i="6" l="1"/>
  <c r="M76" i="6"/>
  <c r="L87" i="7"/>
  <c r="L88" i="7" s="1"/>
  <c r="L89" i="7" s="1"/>
  <c r="L90" i="7" s="1"/>
  <c r="L91" i="7" s="1"/>
  <c r="E23" i="7" s="1"/>
  <c r="D52" i="3" s="1"/>
  <c r="M86" i="7"/>
  <c r="N76" i="6" l="1"/>
  <c r="V76" i="6"/>
  <c r="W76" i="6" s="1"/>
  <c r="Y76" i="6" s="1"/>
  <c r="U76" i="6"/>
  <c r="Z76" i="6" s="1"/>
  <c r="AB76" i="6" s="1"/>
  <c r="AC76" i="6" s="1"/>
  <c r="AF76" i="6"/>
  <c r="T77" i="6"/>
  <c r="M77" i="6"/>
  <c r="O76" i="6"/>
  <c r="V86" i="7"/>
  <c r="W86" i="7" s="1"/>
  <c r="Y86" i="7" s="1"/>
  <c r="M87" i="7"/>
  <c r="U86" i="7"/>
  <c r="T87" i="7"/>
  <c r="AF86" i="7"/>
  <c r="O86" i="7"/>
  <c r="N86" i="7"/>
  <c r="O77" i="6" l="1"/>
  <c r="U77" i="6"/>
  <c r="J78" i="6"/>
  <c r="T78" i="6"/>
  <c r="AF77" i="6"/>
  <c r="V77" i="6"/>
  <c r="W77" i="6" s="1"/>
  <c r="Y77" i="6" s="1"/>
  <c r="I78" i="6"/>
  <c r="N77" i="6"/>
  <c r="Z86" i="7"/>
  <c r="AB86" i="7" s="1"/>
  <c r="AC86" i="7" s="1"/>
  <c r="N87" i="7"/>
  <c r="P87" i="7" s="1"/>
  <c r="AH87" i="7" s="1"/>
  <c r="E22" i="7" s="1"/>
  <c r="D43" i="3" s="1"/>
  <c r="O87" i="7"/>
  <c r="J88" i="7"/>
  <c r="T88" i="7"/>
  <c r="V87" i="7"/>
  <c r="W87" i="7" s="1"/>
  <c r="Y87" i="7" s="1"/>
  <c r="AF87" i="7"/>
  <c r="I88" i="7"/>
  <c r="M88" i="7"/>
  <c r="U87" i="7"/>
  <c r="P77" i="6" l="1"/>
  <c r="AH77" i="6" s="1"/>
  <c r="H78" i="6"/>
  <c r="K78" i="6" s="1"/>
  <c r="L78" i="6"/>
  <c r="Z77" i="6"/>
  <c r="AB77" i="6" s="1"/>
  <c r="AC77" i="6" s="1"/>
  <c r="H88" i="7"/>
  <c r="K88" i="7" s="1"/>
  <c r="O88" i="7"/>
  <c r="AF88" i="7"/>
  <c r="M89" i="7"/>
  <c r="V88" i="7"/>
  <c r="W88" i="7" s="1"/>
  <c r="Y88" i="7" s="1"/>
  <c r="T89" i="7"/>
  <c r="U88" i="7"/>
  <c r="N88" i="7"/>
  <c r="N89" i="7" s="1"/>
  <c r="Z87" i="7"/>
  <c r="L79" i="6" l="1"/>
  <c r="M78" i="6"/>
  <c r="O89" i="7"/>
  <c r="H90" i="7"/>
  <c r="K90" i="7" s="1"/>
  <c r="Z88" i="7"/>
  <c r="AB88" i="7" s="1"/>
  <c r="AC88" i="7" s="1"/>
  <c r="AB87" i="7"/>
  <c r="AC87" i="7" s="1"/>
  <c r="J90" i="7"/>
  <c r="M90" i="7"/>
  <c r="O90" i="7" s="1"/>
  <c r="T90" i="7"/>
  <c r="AF89" i="7"/>
  <c r="U89" i="7"/>
  <c r="V89" i="7"/>
  <c r="W89" i="7" s="1"/>
  <c r="Y89" i="7" s="1"/>
  <c r="I90" i="7"/>
  <c r="U78" i="6" l="1"/>
  <c r="AF78" i="6"/>
  <c r="T79" i="6"/>
  <c r="M79" i="6"/>
  <c r="V78" i="6"/>
  <c r="W78" i="6" s="1"/>
  <c r="Y78" i="6" s="1"/>
  <c r="O78" i="6"/>
  <c r="O79" i="6" s="1"/>
  <c r="N78" i="6"/>
  <c r="N79" i="6" s="1"/>
  <c r="Z89" i="7"/>
  <c r="N90" i="7"/>
  <c r="AF90" i="7"/>
  <c r="U90" i="7"/>
  <c r="T91" i="7"/>
  <c r="M91" i="7"/>
  <c r="V90" i="7"/>
  <c r="W90" i="7" s="1"/>
  <c r="Y90" i="7" s="1"/>
  <c r="U79" i="6" l="1"/>
  <c r="V79" i="6"/>
  <c r="W79" i="6" s="1"/>
  <c r="Y79" i="6" s="1"/>
  <c r="AF79" i="6"/>
  <c r="T80" i="6"/>
  <c r="I80" i="6"/>
  <c r="J80" i="6"/>
  <c r="P79" i="6"/>
  <c r="AH79" i="6" s="1"/>
  <c r="H80" i="6"/>
  <c r="K80" i="6" s="1"/>
  <c r="Z78" i="6"/>
  <c r="AB78" i="6" s="1"/>
  <c r="AC78" i="6" s="1"/>
  <c r="V91" i="7"/>
  <c r="W91" i="7" s="1"/>
  <c r="Y91" i="7" s="1"/>
  <c r="U91" i="7"/>
  <c r="E18" i="7" s="1"/>
  <c r="E19" i="7" s="1"/>
  <c r="D32" i="3" s="1"/>
  <c r="AF91" i="7"/>
  <c r="E21" i="7" s="1"/>
  <c r="Z90" i="7"/>
  <c r="AB90" i="7" s="1"/>
  <c r="AC90" i="7" s="1"/>
  <c r="N91" i="7"/>
  <c r="AB89" i="7"/>
  <c r="AC89" i="7" s="1"/>
  <c r="O91" i="7"/>
  <c r="L80" i="6" l="1"/>
  <c r="Z79" i="6"/>
  <c r="AB79" i="6" s="1"/>
  <c r="AC79" i="6" s="1"/>
  <c r="Z91" i="7"/>
  <c r="E13" i="7" s="1"/>
  <c r="D21" i="3" s="1"/>
  <c r="D44" i="3"/>
  <c r="D46" i="3" s="1"/>
  <c r="E5" i="7"/>
  <c r="L81" i="6" l="1"/>
  <c r="M80" i="6"/>
  <c r="AB91" i="7"/>
  <c r="E14" i="7" s="1"/>
  <c r="AC91" i="7"/>
  <c r="E15" i="7" s="1"/>
  <c r="D27" i="3" s="1"/>
  <c r="D38" i="3"/>
  <c r="D37" i="3"/>
  <c r="D9" i="3"/>
  <c r="E20" i="7"/>
  <c r="D31" i="3" s="1"/>
  <c r="E10" i="7"/>
  <c r="D28" i="3"/>
  <c r="D25" i="3"/>
  <c r="E12" i="7"/>
  <c r="D34" i="3" s="1"/>
  <c r="U80" i="6" l="1"/>
  <c r="T81" i="6"/>
  <c r="V80" i="6"/>
  <c r="W80" i="6" s="1"/>
  <c r="Y80" i="6" s="1"/>
  <c r="AF80" i="6"/>
  <c r="M81" i="6"/>
  <c r="O80" i="6"/>
  <c r="O81" i="6" s="1"/>
  <c r="N80" i="6"/>
  <c r="N81" i="6" s="1"/>
  <c r="D24" i="3"/>
  <c r="D26" i="3" s="1"/>
  <c r="D13" i="3"/>
  <c r="E11" i="7"/>
  <c r="D17" i="3"/>
  <c r="Z80" i="6" l="1"/>
  <c r="AB80" i="6" s="1"/>
  <c r="AC80" i="6" s="1"/>
  <c r="P81" i="6"/>
  <c r="AH81" i="6" s="1"/>
  <c r="H82" i="6"/>
  <c r="K82" i="6" s="1"/>
  <c r="I82" i="6"/>
  <c r="J82" i="6"/>
  <c r="L82" i="6" s="1"/>
  <c r="L83" i="6" s="1"/>
  <c r="V81" i="6"/>
  <c r="W81" i="6" s="1"/>
  <c r="Y81" i="6" s="1"/>
  <c r="T82" i="6"/>
  <c r="AF81" i="6"/>
  <c r="M82" i="6"/>
  <c r="N82" i="6" s="1"/>
  <c r="U81" i="6"/>
  <c r="Z81" i="6" s="1"/>
  <c r="AB81" i="6" s="1"/>
  <c r="AC81" i="6" s="1"/>
  <c r="D20" i="3"/>
  <c r="D22" i="3"/>
  <c r="D19" i="3"/>
  <c r="D15" i="3"/>
  <c r="D35" i="3"/>
  <c r="D40" i="3"/>
  <c r="D41" i="3" s="1"/>
  <c r="D16" i="3"/>
  <c r="O82" i="6" l="1"/>
  <c r="T83" i="6"/>
  <c r="V82" i="6"/>
  <c r="W82" i="6" s="1"/>
  <c r="Y82" i="6" s="1"/>
  <c r="AF82" i="6"/>
  <c r="M83" i="6"/>
  <c r="U82" i="6"/>
  <c r="Z82" i="6" l="1"/>
  <c r="O83" i="6"/>
  <c r="V83" i="6"/>
  <c r="W83" i="6" s="1"/>
  <c r="Y83" i="6" s="1"/>
  <c r="J84" i="6"/>
  <c r="T84" i="6"/>
  <c r="U83" i="6"/>
  <c r="I84" i="6"/>
  <c r="AF83" i="6"/>
  <c r="N83" i="6"/>
  <c r="P83" i="6" s="1"/>
  <c r="AH83" i="6" s="1"/>
  <c r="H84" i="6" l="1"/>
  <c r="K84" i="6" s="1"/>
  <c r="L84" i="6" s="1"/>
  <c r="Z83" i="6"/>
  <c r="AB83" i="6" s="1"/>
  <c r="AC83" i="6" s="1"/>
  <c r="AB82" i="6"/>
  <c r="AC82" i="6" s="1"/>
  <c r="L85" i="6" l="1"/>
  <c r="M84" i="6"/>
  <c r="V84" i="6" l="1"/>
  <c r="W84" i="6" s="1"/>
  <c r="Y84" i="6" s="1"/>
  <c r="M85" i="6"/>
  <c r="AF84" i="6"/>
  <c r="N84" i="6"/>
  <c r="N85" i="6" s="1"/>
  <c r="O84" i="6"/>
  <c r="O85" i="6" s="1"/>
  <c r="T85" i="6"/>
  <c r="U84" i="6"/>
  <c r="Z84" i="6" s="1"/>
  <c r="AB84" i="6" s="1"/>
  <c r="AC84" i="6" s="1"/>
  <c r="V85" i="6" l="1"/>
  <c r="W85" i="6" s="1"/>
  <c r="Y85" i="6" s="1"/>
  <c r="J86" i="6"/>
  <c r="AF85" i="6"/>
  <c r="T86" i="6"/>
  <c r="U85" i="6"/>
  <c r="Z85" i="6" s="1"/>
  <c r="I86" i="6"/>
  <c r="P85" i="6"/>
  <c r="AH85" i="6" s="1"/>
  <c r="H86" i="6"/>
  <c r="K86" i="6" s="1"/>
  <c r="AB85" i="6"/>
  <c r="AC85" i="6" s="1"/>
  <c r="L86" i="6" l="1"/>
  <c r="L87" i="6" l="1"/>
  <c r="L88" i="6" s="1"/>
  <c r="L89" i="6" s="1"/>
  <c r="L90" i="6" s="1"/>
  <c r="L91" i="6" s="1"/>
  <c r="E23" i="6" s="1"/>
  <c r="C52" i="3" s="1"/>
  <c r="M86" i="6"/>
  <c r="V86" i="6" l="1"/>
  <c r="W86" i="6" s="1"/>
  <c r="Y86" i="6" s="1"/>
  <c r="M87" i="6"/>
  <c r="T87" i="6"/>
  <c r="AF86" i="6"/>
  <c r="U86" i="6"/>
  <c r="Z86" i="6" s="1"/>
  <c r="AB86" i="6" s="1"/>
  <c r="AC86" i="6" s="1"/>
  <c r="O86" i="6"/>
  <c r="O87" i="6" s="1"/>
  <c r="N86" i="6"/>
  <c r="N87" i="6" s="1"/>
  <c r="H88" i="6" l="1"/>
  <c r="K88" i="6" s="1"/>
  <c r="P87" i="6"/>
  <c r="AH87" i="6" s="1"/>
  <c r="E22" i="6" s="1"/>
  <c r="C43" i="3" s="1"/>
  <c r="T88" i="6"/>
  <c r="I88" i="6"/>
  <c r="U87" i="6"/>
  <c r="V87" i="6"/>
  <c r="W87" i="6" s="1"/>
  <c r="Y87" i="6" s="1"/>
  <c r="M88" i="6"/>
  <c r="N88" i="6" s="1"/>
  <c r="J88" i="6"/>
  <c r="AF87" i="6"/>
  <c r="V88" i="6" l="1"/>
  <c r="W88" i="6" s="1"/>
  <c r="Y88" i="6" s="1"/>
  <c r="T89" i="6"/>
  <c r="AF88" i="6"/>
  <c r="U88" i="6"/>
  <c r="Z88" i="6" s="1"/>
  <c r="AB88" i="6" s="1"/>
  <c r="AC88" i="6" s="1"/>
  <c r="M89" i="6"/>
  <c r="Z87" i="6"/>
  <c r="AB87" i="6" s="1"/>
  <c r="AC87" i="6" s="1"/>
  <c r="O88" i="6"/>
  <c r="O89" i="6" s="1"/>
  <c r="AF89" i="6" l="1"/>
  <c r="U89" i="6"/>
  <c r="I90" i="6"/>
  <c r="T90" i="6"/>
  <c r="M90" i="6"/>
  <c r="V89" i="6"/>
  <c r="W89" i="6" s="1"/>
  <c r="Y89" i="6" s="1"/>
  <c r="J90" i="6"/>
  <c r="N89" i="6"/>
  <c r="Z89" i="6" l="1"/>
  <c r="H90" i="6"/>
  <c r="K90" i="6" s="1"/>
  <c r="N90" i="6"/>
  <c r="AF90" i="6"/>
  <c r="U90" i="6"/>
  <c r="T91" i="6"/>
  <c r="V90" i="6"/>
  <c r="W90" i="6" s="1"/>
  <c r="Y90" i="6" s="1"/>
  <c r="M91" i="6"/>
  <c r="O90" i="6"/>
  <c r="O91" i="6" l="1"/>
  <c r="Z90" i="6"/>
  <c r="AB90" i="6" s="1"/>
  <c r="AC90" i="6" s="1"/>
  <c r="N91" i="6"/>
  <c r="AF91" i="6"/>
  <c r="E21" i="6" s="1"/>
  <c r="U91" i="6"/>
  <c r="V91" i="6"/>
  <c r="W91" i="6" s="1"/>
  <c r="Y91" i="6" s="1"/>
  <c r="E18" i="6"/>
  <c r="E19" i="6" s="1"/>
  <c r="C32" i="3" s="1"/>
  <c r="E5" i="6"/>
  <c r="AB89" i="6"/>
  <c r="AC89" i="6" s="1"/>
  <c r="E10" i="6" l="1"/>
  <c r="E11" i="6" s="1"/>
  <c r="C37" i="3"/>
  <c r="C38" i="3"/>
  <c r="E20" i="6"/>
  <c r="C31" i="3" s="1"/>
  <c r="C9" i="3"/>
  <c r="Z91" i="6"/>
  <c r="E12" i="6"/>
  <c r="C13" i="3" l="1"/>
  <c r="C18" i="3"/>
  <c r="C17" i="3"/>
  <c r="AB91" i="6"/>
  <c r="E14" i="6" s="1"/>
  <c r="E13" i="6"/>
  <c r="C22" i="3"/>
  <c r="C40" i="3"/>
  <c r="C41" i="3" s="1"/>
  <c r="C16" i="3"/>
  <c r="C20" i="3"/>
  <c r="C19" i="3"/>
  <c r="C15" i="3"/>
  <c r="AC91" i="6" l="1"/>
  <c r="E15" i="6" s="1"/>
  <c r="C24" i="3"/>
  <c r="C27" i="3"/>
  <c r="C44" i="3"/>
  <c r="C46" i="3" s="1"/>
  <c r="C21" i="3"/>
  <c r="C28" i="3"/>
  <c r="C25" i="3"/>
  <c r="C26" i="3" l="1"/>
</calcChain>
</file>

<file path=xl/sharedStrings.xml><?xml version="1.0" encoding="utf-8"?>
<sst xmlns="http://schemas.openxmlformats.org/spreadsheetml/2006/main" count="393" uniqueCount="321">
  <si>
    <t>Instructions, principles and formulas</t>
  </si>
  <si>
    <t>1. What this workbook answers</t>
  </si>
  <si>
    <t>A borrower can fund itself with a bond or with an amortising loan of the same amount. Loans are routinely priced by reading the borrower's own bond curve at the loan's weighted average life (WAL) — the 'shortcut'. That shortcut is biased: on an upward-sloping curve it UNDER-charges, so the borrower saves. This workbook measures that saving precisely, for (a) a FLOATING loan priced off the bond Z-spread curve and (b) a FIXED loan priced off the bond YTM curve.</t>
  </si>
  <si>
    <t>The saving is NET: before the WAL date the loan's exposure is short-dated and genuinely cheaper than the WAL point, so the borrower OVERPAYS there (loss phase); after the WAL the exposure is long-dated and dearer, so the borrower UNDERPAYS (benefit phase). The workbook reports both phases and the net — exactly, not as an approximation (see §4.6).</t>
  </si>
  <si>
    <t>2. How to use it (5 minutes)</t>
  </si>
  <si>
    <t>1) Tab 'Inputs', rows 4–10: currency (USD/EUR), amount, drawdown years x, repayment years y, and the over/under adjustment X in bp for each loan type (0 = loan priced exactly at the curve point equal to the WAL).</t>
  </si>
  <si>
    <t>2) Tab 'Inputs', rows 28–57: paste the bond Z-spread curve (bp), the bond YTM curve (%) and the swap par curve (%) at 1Y…30Y. Leave cells BLANK where you have no point — the model linearly interpolates between known points and holds flat beyond the ends (flagged). You need at least one point per curve; in practice give at least 1Y, 2Y, 3Y, 5Y, 7Y, 10Y and every bond point you have. Credit curve to 20Y is enough for loans up to 20Y; for longer loans see the warning on Results.</t>
  </si>
  <si>
    <t>3) Tab 'Inputs', rows 13–19: additional market inputs — recovery rate (default 40%), EUR swap basis, optional 6M fixing. Defaults are correct for standard cases; overrides are optional. Rows 22–24: optional fees/new-issue premium (default 0).</t>
  </si>
  <si>
    <t>4) Read tab 'Results'. Green = borrower saves, red = borrower overpays. Check the 'Integrity checks' block reads OK and read the 'Warnings' block.</t>
  </si>
  <si>
    <t>5) Nothing else to run: there is NO Goal Seek, Solver or macro. The credit-curve bootstrap is solved in closed form (§4.3), so everything recalculates live.</t>
  </si>
  <si>
    <t>3. Principles (why the WAL shortcut is wrong)</t>
  </si>
  <si>
    <t>P1 — Quoted curves are SPOT averages. A 10Y Z-spread already averages credit risk over years 0–10. Money outstanding in year 15 costs the FORWARD (marginal) credit cost of year 15, not the 15Y spot spread. The model therefore converts each curve into piecewise-constant forward hazard rates λ (one per year) before pricing. Exposure-weighting the spot curve instead double-counts the early years and typically gets even the SIGN wrong.</t>
  </si>
  <si>
    <t>P2 — Equal WAL ≠ equal timing. A bullet with maturity W and an amortiser with the same WAL have the same principal-years, but the amortiser's exposure sits later on average (2W/3 vs W/2 for a straight amortiser). On any rising forward curve that alone creates a wedge, even if the curve is a straight line. Curvature then adds or subtracts.</t>
  </si>
  <si>
    <t>P3 — Recovery is paid on the balance outstanding when default happens (O_i), not on the original notional.</t>
  </si>
  <si>
    <t>P4 — The fair loan price is the price at which the lender is indifferent between the loan and the borrower's own bonds: the par spread/rate of the loan's exact cash-flow profile under the hazard curve implied by the bonds. This is the 'bond-equivalent cost' — what it would cost to replicate the exact drawdown/repayment profile by issuing bonds of each maturity.</t>
  </si>
  <si>
    <t>P5 — Sanity properties (built-in tests): flat credit curve → wedge exactly 0 (floating); bullet loan (y = 0.5 at the node) → wedge 0; inverted curve → wedge negative (not floored).</t>
  </si>
  <si>
    <t>4. Formulas</t>
  </si>
  <si>
    <t>4.1 Curve gap-filling (tab Curves, columns A–S)</t>
  </si>
  <si>
    <t>value(k) = quoted(k) if present;  else  v(p) + (v(n) − v(p))·(k − p)/(n − p)  where p, n = nearest quoted tenors below/above;  flat beyond ends</t>
  </si>
  <si>
    <t>YTM s.a.-equivalent  y_sa = 2·((1 + y/m)^(m/2) − 1),  m = bond compounding (EUR 1, USD 2)</t>
  </si>
  <si>
    <t>4.2 Risk-free discount factors (swap bootstrap, annual fixed leg, accrual α)</t>
  </si>
  <si>
    <t>DF(k) = (1 − r_k·α·Σ_{j&lt;k} DF(j)) / (1 + r_k·α)          k = 1..30 years</t>
  </si>
  <si>
    <t>DF(k − ½) = √(DF(k−1)·DF(k))   (log-linear: flat forwards within each year);   DF(½) = 1/(1 + r6m·182.5/360) if a 6M fixing is supplied</t>
  </si>
  <si>
    <t>f_i·a = DF(t_{i−1})/DF(t_i) − 1      (simple forward over each 6-month period; a = 0.5)</t>
  </si>
  <si>
    <t>α = 365.25/360 for USD SOFR OIS and EUR €STR OIS (ACT/360), 1 for EUR vs 6M Euribor (30/360). Single-curve approximation: the same curve is used to project and to discount (impact on the wedge &lt; 0.1bp).</t>
  </si>
  <si>
    <t>4.3 Forward hazard bootstrap — closed form, no Goal Seek (tabs Calc_*, columns H–P)</t>
  </si>
  <si>
    <t>Each bond point at year b is treated as a par bullet paying semi-annually: floating pays f + q_b (q = Z-spread); fixed pays coupon q_b = y_sa. Survival S(t) = exp(−Σ λ·time). With λ_1…λ_{b−1} fixed, the only unknown inside year b is u = e^(−λ_b/2) (survival ratio per half-year). The par condition is a QUADRATIC in u:</t>
  </si>
  <si>
    <t>PV = K + D1·Sp·[u·g1 + R(1−u)] + D2·Sp·[u²·g2 + R(u − u²)] = 1</t>
  </si>
  <si>
    <t>a2 = D2·Sp·(g2 − R);   a1 = Sp·(D1·(g1 − R) + D2·R);   a0 = K + D1·Sp·R − 1;   u = (−a1 + √(a1² − 4·a2·a0)) / (2·a2);   λ_b = −2·ln u</t>
  </si>
  <si>
    <t>K = C(b−1) + q_b·Ann(b−1);  C = Σ DF·[S·f·a + R·ΔS] (floating) or Σ DF·R·ΔS (fixed);  Ann = Σ DF·S·a;  g1 = f1·a + q·a (+1 on g2);  fixed: g1 = q·a, g2 = q·a + 1</t>
  </si>
  <si>
    <t>Check column P re-prices every quoted bond from the finished curve; the maximum error is shown on Results (≈ 0). Beyond the last bond point λ is held at its last value (not the spot spread — flat spot extrapolation would understate the tail).</t>
  </si>
  <si>
    <t>4.4 Loan profile</t>
  </si>
  <si>
    <t>D = 2x drawdowns of 1/D at t = 0, 0.5, …, x − 0.5  (x = 0 → one drawdown of 1 at t = 0);   2y instalments of 1/(2y) at t = x + 0.5, …, x + y</t>
  </si>
  <si>
    <t>O_i = drawn by t_{i−1} − repaid by t_{i−1}   (balance outstanding during period i);     WAL = Σ O_i·a = Σ t·P − Σ t·Drawdown</t>
  </si>
  <si>
    <t>4.5 Fair price of the loan (closed form)</t>
  </si>
  <si>
    <t>PV(loan at c) = Σ DF_i·[ S_i·(coupon_i·O_i + P_i) + R·(S_{i−1} − S_i)·O_i ];   PV(drawdowns) = Σ DF(t_draw)·S(t_draw)·DD</t>
  </si>
  <si>
    <t>Floating: coupon_i = (f_i + s)·a.   Fixed: coupon_i = c·a.     Fair s* (or c*) solves PV(loan) = PV(drawdowns) — linear, so closed form.</t>
  </si>
  <si>
    <t>4.6 EXACT per-period decomposition (new vs. the original spec, which only had an indicative split)</t>
  </si>
  <si>
    <t>For each half-year the break-even credit margin that makes that period alone fair is:</t>
  </si>
  <si>
    <t>c_i = (1 − p_i)·(1 + f_i·a − R) / (p_i·a),     p_i = S_i / S_{i−1}           (≈ λ·(1 − R) for small λ)</t>
  </si>
  <si>
    <t>Floating: k_i = c_i.     Fixed: k_i = f_i + c_i.        w_i = DF_i·S_i·a·O_i  (risky annuity weight)</t>
  </si>
  <si>
    <t>Fair spread / rate  =  Σ w_i·k_i / Σ w_i         (proved by telescoping the per-period par conditions; verified to 1e-10 against the direct PV, see Results checks)</t>
  </si>
  <si>
    <t>PV saving = Amount · Σ w_i·(k_i − charged)  = Amount · (fair − charged) · Σ w_i</t>
  </si>
  <si>
    <t>Splitting the sum at the WAL date (the period straddling WAL is split pro-rata by time) gives the LOSS phase (start→WAL) and the BENEFIT phase (WAL→maturity). They add up exactly to the net.</t>
  </si>
  <si>
    <t>4.7 Outputs</t>
  </si>
  <si>
    <t>Net saving (bp p.a.) = (fair − charged)·10,000;   charged = curve(WAL) + X;   curve(WAL) = linear interpolation of your curve at the exact WAL</t>
  </si>
  <si>
    <t>Nominal total = bp/10,000 × Amount × WAL;   PV total = bp/10,000 × Amount × Σ w_i;   bp contribution of a phase = PV(phase)/Σ w_i</t>
  </si>
  <si>
    <t>All-in: floating = Σw·f/Σw + spread;  fixed = fixed rate.   Fixed only: risk-free effect = Σw·f/Σw − rf par yield(WAL);  credit effect = net − risk-free effect</t>
  </si>
  <si>
    <t>Fees (optional): running bp = flat bp / Σ w_i;   net incl. costs = net − loan fee + bond costs + new-issue premium</t>
  </si>
  <si>
    <t>5. Assumptions &amp; limitations (state these when you use the numbers)</t>
  </si>
  <si>
    <t>• Z-spread at each tenor is treated as the par spread of a floating bullet of that tenor (standard reduced-form treatment; exact for par bonds, very close for bonds near par). YTM is treated as the par coupon of a bullet of that tenor — for deep discount/premium bonds prefer a par/BVAL fitted issuer curve.
• Semi-annual loan periods, accrual 0.5; floating loan resets to the 6M forward. Interest on outstanding only; no commitment fee on undrawn amounts (add via the fee input if relevant).
• The fixed loan's charged rate is the semi-annual equivalent of YTM(WAL) + X (same effective yield). If your term sheet sets the nominal coupon equal to an annual YTM, add the small compounding difference via X.
• Single-curve risk-free framework; no funding/liquidity basis between loan and bond markets, no bond new-issue premium unless entered. Maximum loan life 30 years.
• Recovery rate matters very little (the hazard scales with 1/(1−R) and the loss with (1−R)).</t>
  </si>
  <si>
    <t>6. Validation performed</t>
  </si>
  <si>
    <t>The engine was first checked against the reference specification (WAL_WEDGE_CALCULATOR_SPEC.md): forward intensities 45.56/134.07/211.05/222.00bp, 20Y amortiser 65.8781bp vs 55.0000bp → wedge +10.8781bp, and the 10Y/20Y/30Y table — all reproduced exactly. The workbook's formulas were then cross-checked against an independent Python implementation on the example inputs (agreement &lt; 1e-8 bp), and on test cases: flat curve → 0.00bp; inverted curve → negative; no drawdown period; long drawdown periods.</t>
  </si>
  <si>
    <t>Differences from the reference spec, all deliberate for precision: annual (not 5/10/20/30Y) hazard buckets; simple forwards DF(t−1)/DF(t) − 1 instead of ln(DF ratio), so a riskless floater prices exactly at par; swap-curve bootstrap with the correct fixed-leg day count; drawdown period; shortcut read on the curve at the exact WAL (not rounded); exact (not indicative) decomposition.</t>
  </si>
  <si>
    <t>Loan vs Bond: WAL-pricing wedge calculator — INPUTS</t>
  </si>
  <si>
    <t>Edit only the yellow cells (blue text). Everything else recalculates live. Example values are ILLUSTRATIVE (a EUR BBB-type issuer) — replace them with today's market data.</t>
  </si>
  <si>
    <t>1. Transaction (required)</t>
  </si>
  <si>
    <t>Currency</t>
  </si>
  <si>
    <t>EUR</t>
  </si>
  <si>
    <t>USD or EUR. Drives the default swap/YTM conventions and the money labels.</t>
  </si>
  <si>
    <t>Loan amount = bond amount</t>
  </si>
  <si>
    <t>Same amount for the loan and the bond alternative.</t>
  </si>
  <si>
    <t>Disbursement (drawdown) period  x  (years)</t>
  </si>
  <si>
    <t>Linear: equal drawdowns every 6 months starting at signing (t = 0). 0 = fully drawn at signing. Multiples of 0.5.</t>
  </si>
  <si>
    <t>Repayment period  y  (years)</t>
  </si>
  <si>
    <t>Starts after the drawdown period. Equal semi-annual instalments, first one 6m after the last drawdown period ends. Multiples of 0.5, &gt; 0.</t>
  </si>
  <si>
    <t>FLOATING loan: margin vs Z-spread at WAL  (bps)</t>
  </si>
  <si>
    <t>0 = loan margin exactly equals the bond Z-spread read at the loan's WAL. +10 = 10bp above; −10 = 10bp below.</t>
  </si>
  <si>
    <t>FIXED loan: rate vs YTM at WAL  (bps)</t>
  </si>
  <si>
    <t>0 = loan fixed rate exactly equals the bond YTM read at the loan's WAL. +/− as above.</t>
  </si>
  <si>
    <t>Valuation / pricing date</t>
  </si>
  <si>
    <t>Date the market data below was observed. Informational.</t>
  </si>
  <si>
    <t>2. Additional market inputs (needed for the precise calculation — see tab 'Data Sourcing')</t>
  </si>
  <si>
    <t>Recovery rate on default (R)</t>
  </si>
  <si>
    <t>Senior unsecured market standard 40%. Result is very insensitive to R (λ scales by 1/(1−R), cost by (1−R)).</t>
  </si>
  <si>
    <t>EUR swap curve basis (EUR only)</t>
  </si>
  <si>
    <t>EURIBOR6M</t>
  </si>
  <si>
    <t>EURIBOR6M = EUR swaps vs 6M Euribor (annual 30/360 fixed leg). ESTR = €STR OIS (annual ACT/360). Use the curve your Z-spreads are quoted against. Ignored for USD (SOFR OIS).</t>
  </si>
  <si>
    <t>Swap fixed-leg accrual factor — override (blank = default)</t>
  </si>
  <si>
    <t>Leave blank. Default: USD SOFR OIS ACT/360 = 365.25/360; EUR vs 6M Euribor 30/360 = 1; EUR €STR ACT/360 = 365.25/360.</t>
  </si>
  <si>
    <t>Swap fixed-leg accrual factor USED</t>
  </si>
  <si>
    <t>Formula — do not edit.</t>
  </si>
  <si>
    <t>Bond YTM compounding frequency — override (blank = default)</t>
  </si>
  <si>
    <t>Leave blank. Default: EUR bonds annual coupons = 1; USD bonds semi-annual = 2.</t>
  </si>
  <si>
    <t>Bond YTM compounding frequency USED</t>
  </si>
  <si>
    <t>6M floating-rate fixing (optional, %)</t>
  </si>
  <si>
    <t>Optional. USD: 6M Term SOFR; EUR: 6M EURIBOR (or 6M €STR OIS if basis = ESTR). Pins the 6-month discount factor. Blank = log-linear from 1Y swap.</t>
  </si>
  <si>
    <t>3. Optional all-in cost adjustments (default 0 — the headline hazard wedge ignores them)</t>
  </si>
  <si>
    <t>Loan upfront / arrangement fee  (bps flat, paid at signing)</t>
  </si>
  <si>
    <t>Cost to the borrower of the loan route.</t>
  </si>
  <si>
    <t>Bond issuance costs  (bps flat: fees, legal, rating, listing)</t>
  </si>
  <si>
    <t>Cost to the borrower of the bond route.</t>
  </si>
  <si>
    <t>Bond new-issue premium  (bps running)</t>
  </si>
  <si>
    <t>Concession over the secondary curve a new bond would pay.</t>
  </si>
  <si>
    <t>4. Curves — one row per year. Leave a cell BLANK where no data: the model interpolates linearly (flat beyond the ends, flagged).</t>
  </si>
  <si>
    <t>Tenor</t>
  </si>
  <si>
    <t>Bond Z-spread (bp)
[floating calc]</t>
  </si>
  <si>
    <t>Bond YTM (%)
[fixed calc]</t>
  </si>
  <si>
    <t>Swap par rate (%)
[risk-free curve]</t>
  </si>
  <si>
    <t>Notes</t>
  </si>
  <si>
    <t>1Y</t>
  </si>
  <si>
    <t xml:space="preserve">Z-spread: bp over the swap curve in column E. YTM: % in the bond's own compounding (row 18). Swap: par rates, %. </t>
  </si>
  <si>
    <t>2Y</t>
  </si>
  <si>
    <t>Swap curve should reach the loan's final maturity (tenors up to 30Y available).</t>
  </si>
  <si>
    <t>3Y</t>
  </si>
  <si>
    <t>4Y</t>
  </si>
  <si>
    <t>5Y</t>
  </si>
  <si>
    <t>6Y</t>
  </si>
  <si>
    <t>7Y</t>
  </si>
  <si>
    <t>8Y</t>
  </si>
  <si>
    <t>9Y</t>
  </si>
  <si>
    <t>10Y</t>
  </si>
  <si>
    <t>11Y</t>
  </si>
  <si>
    <t>12Y</t>
  </si>
  <si>
    <t>13Y</t>
  </si>
  <si>
    <t>14Y</t>
  </si>
  <si>
    <t>15Y</t>
  </si>
  <si>
    <t>16Y</t>
  </si>
  <si>
    <t>17Y</t>
  </si>
  <si>
    <t>18Y</t>
  </si>
  <si>
    <t>19Y</t>
  </si>
  <si>
    <t>20Y</t>
  </si>
  <si>
    <t>21Y</t>
  </si>
  <si>
    <t>21Y–30Y credit points are optional. Beyond the last bond point the last forward hazard rate is extended (flagged on Results).</t>
  </si>
  <si>
    <t>22Y</t>
  </si>
  <si>
    <t>23Y</t>
  </si>
  <si>
    <t>24Y</t>
  </si>
  <si>
    <t>25Y</t>
  </si>
  <si>
    <t>26Y</t>
  </si>
  <si>
    <t>27Y</t>
  </si>
  <si>
    <t>28Y</t>
  </si>
  <si>
    <t>29Y</t>
  </si>
  <si>
    <t>30Y</t>
  </si>
  <si>
    <t>RESULTS — what the borrower saves (or overpays) by taking the loan priced off the bond curve at the WAL</t>
  </si>
  <si>
    <t>Sign convention: POSITIVE = borrower SAVES vs. the bond-equivalent (fair) cost of the same profile; NEGATIVE = borrower pays in excess.</t>
  </si>
  <si>
    <t>Metric</t>
  </si>
  <si>
    <t>FLOATING loan
vs Z-spread curve</t>
  </si>
  <si>
    <t>FIXED loan
vs YTM curve</t>
  </si>
  <si>
    <t>How to read it</t>
  </si>
  <si>
    <t>Loan profile</t>
  </si>
  <si>
    <t>Final maturity (years)</t>
  </si>
  <si>
    <t>Weighted average life, WAL (years)</t>
  </si>
  <si>
    <t>Σ outstanding × time / amount, measured from signing (includes drawdown period).</t>
  </si>
  <si>
    <t>Risky annuity (PV of 1bp p.a. on the profile, in years)</t>
  </si>
  <si>
    <t>Converts bp running into PV: PV = bp/10,000 × amount × annuity.</t>
  </si>
  <si>
    <t>Pricing</t>
  </si>
  <si>
    <t>Bond curve read at the WAL (Z-spread bp | YTM quoted basis)</t>
  </si>
  <si>
    <t>The market shortcut: linear interpolation of your curve at the exact WAL.</t>
  </si>
  <si>
    <t>Loan spread / rate CHARGED (shortcut + X)  [fixed: s.a. equiv.]</t>
  </si>
  <si>
    <t>Floating: margin over the reference rate. Fixed: all-in fixed coupon, semi-annual equivalent.</t>
  </si>
  <si>
    <t>FAIR spread / rate for this exact profile (bond-equivalent cost)</t>
  </si>
  <si>
    <t>What it would cost to fund this exact drawdown/amortisation profile on the issuer's own bond curve (forward hazard rates, survival, recovery on outstanding balance).</t>
  </si>
  <si>
    <t>Headline: net saving</t>
  </si>
  <si>
    <t>NET saving, bp p.a.  (fair − charged)</t>
  </si>
  <si>
    <t>Net of the loss before WAL and the benefit after WAL (split below).</t>
  </si>
  <si>
    <t>Net saving as % of the bond-equivalent spread / rate</t>
  </si>
  <si>
    <t>Floating: relative to the fair credit spread. Fixed: relative to the fair all-in fixed rate.</t>
  </si>
  <si>
    <t>Bond-equivalent ALL-IN rate (annualised, s.a.)</t>
  </si>
  <si>
    <t>Floating: exposure-weighted forward reference rate + fair spread. Fixed: fair fixed rate.</t>
  </si>
  <si>
    <t>Loan ALL-IN rate (annualised, s.a.)</t>
  </si>
  <si>
    <t>Net saving as % of the bond all-in rate</t>
  </si>
  <si>
    <t>Total saving over the life, nominal (undiscounted)</t>
  </si>
  <si>
    <t>bp × amount × WAL (= bp × principal-years).</t>
  </si>
  <si>
    <t>Total saving over the life, PRESENT VALUE</t>
  </si>
  <si>
    <t>Exact: survival-weighted and discounted. This is the economic value transferred to the borrower today.</t>
  </si>
  <si>
    <t>Average saving per year of loan life (nominal)</t>
  </si>
  <si>
    <t>Decomposition: loss before WAL vs benefit after WAL (EXACT — sums to the net)</t>
  </si>
  <si>
    <t>LOSS phase (start → WAL): PV, money</t>
  </si>
  <si>
    <t>Usually negative: early exposure is cheaper than the WAL point, so the borrower overpays here.</t>
  </si>
  <si>
    <t>BENEFIT phase (WAL → maturity): PV, money</t>
  </si>
  <si>
    <t>Usually positive: late exposure is dearer than the WAL point, so the borrower underpays here.</t>
  </si>
  <si>
    <t>NET (= loss + benefit)</t>
  </si>
  <si>
    <t>Equals the PV total above.</t>
  </si>
  <si>
    <t>LOSS phase, contribution to net (bp p.a.)</t>
  </si>
  <si>
    <t>BENEFIT phase, contribution to net (bp p.a.)</t>
  </si>
  <si>
    <t>Principal-years before WAL</t>
  </si>
  <si>
    <t>Principal-years after WAL</t>
  </si>
  <si>
    <t>WAL equalises the QUANTITY of principal-years; it does not put them at the same point in time as a bullet.</t>
  </si>
  <si>
    <t>Avg fair spread / rate on exposure BEFORE WAL</t>
  </si>
  <si>
    <t>Avg fair spread / rate on exposure AFTER WAL</t>
  </si>
  <si>
    <t>Fixed loan only: where the fixed-rate saving comes from</t>
  </si>
  <si>
    <t>Risk-free curve effect (bp): profile-weighted fwd − rf par yield at WAL</t>
  </si>
  <si>
    <t>Reading a fixed rate at the WAL also misprices the risk-free term structure. This part is not credit.</t>
  </si>
  <si>
    <t>Credit / hazard effect (bp) = net − risk-free effect</t>
  </si>
  <si>
    <t>The pure net hazard-cost saving inside the fixed-rate wedge.</t>
  </si>
  <si>
    <t>Optional: all-in incl. fees / new-issue premium (Inputs rows 22–24)</t>
  </si>
  <si>
    <t>Loan upfront fee, running equivalent (bp p.a.)</t>
  </si>
  <si>
    <t>Bond issuance costs, running equivalent (bp p.a.)</t>
  </si>
  <si>
    <t>Bond new-issue premium (bp p.a.)</t>
  </si>
  <si>
    <t>NET saving incl. costs (bp p.a.)</t>
  </si>
  <si>
    <t>NET saving incl. costs, PV money</t>
  </si>
  <si>
    <t>Integrity checks (should all read OK)</t>
  </si>
  <si>
    <t>Calibration: every quoted bond reprices to its input (max error, bp)</t>
  </si>
  <si>
    <t>PV identity: decomposition total vs direct loan PV (difference)</t>
  </si>
  <si>
    <t>WAL cross-check (two formulas) difference</t>
  </si>
  <si>
    <t>Status</t>
  </si>
  <si>
    <t>Warnings</t>
  </si>
  <si>
    <t>Loan maturity beyond last quoted bond tenor?</t>
  </si>
  <si>
    <t>Beyond the last bond point the model extends the last forward hazard (not the spot spread). Treat as an assumption.</t>
  </si>
  <si>
    <t>WAL beyond last quoted bond tenor (shortcut read on flat extrapolation)?</t>
  </si>
  <si>
    <t>Loan maturity beyond last quoted swap tenor?</t>
  </si>
  <si>
    <t>Bond curve non-monotonic (allowed, but check data)?</t>
  </si>
  <si>
    <t>Negative forward hazard (curve inverts too steeply)?</t>
  </si>
  <si>
    <t>Input validity (x, y multiples of 0.5; y&gt;0; x+y ≤ 30; ≥1 point per curve)</t>
  </si>
  <si>
    <t>Data Sourcing — how to obtain the inputs (by currency)</t>
  </si>
  <si>
    <t>Bottom line: the swap curve can be obtained free and reliably from the open internet. The BOND curves (Z-spread and YTM by tenor for a specific issuer) are NOT reliably available free — use Bloomberg (or your bank's pricing). Recovery rate: use 40% unless you have a reason not to.</t>
  </si>
  <si>
    <t>A. Inputs you must supply and why</t>
  </si>
  <si>
    <t>1  Bond Z-spread curve 1Y–20Y (bp)      → floating calculation. The issuer's own senior unsecured curve, same currency as the loan.
2  Bond YTM curve 1Y–20Y (%)            → fixed calculation. Same issuer/seniority/currency.
3  Swap par curve 1Y–30Y (%)            → ADDITIONAL INPUT: risk-free discount factors and forward reference rates.
4  Recovery rate                        → ADDITIONAL INPUT: default 40% senior unsecured.
5  6M fixing (optional)                 → ADDITIONAL INPUT: pins the first 6 months of the curve.
Forward rates are NOT an input: the workbook derives them from the swap curve.</t>
  </si>
  <si>
    <t>B. Swap curve — USD (SOFR OIS, annual/annual, ACT/360)</t>
  </si>
  <si>
    <t>Free / open internet:
• Chatham Financial — US market rates page, 'SOFR swap rate (annual/annual)' table, 1Y–30Y, mid-market, end of day: https://www.chathamfinancial.com/technology/us-market-rates  (a free login gives hourly-refreshed rates and history).
• ICE Benchmark Administration — USD SOFR ICE Swap Rate, published daily around 11:15 New York time, tenors 1Y–30Y: https://www.ice.com/iba/ice-swap-rate (access terms apply; widely redistributed by data vendors).
• 6M fixing: CME Term SOFR 6M (cmegroup.com, Term SOFR page; free with registration).</t>
  </si>
  <si>
    <t>Bloomberg:
• Tickers USOSFR1 Curncy … USOSFR10, USOSFR12, USOSFR15, USOSFR20, USOSFR25, USOSFR30 Curncy (USD SOFR OIS par swaps). Quickest: type USOSFR10 Curncy &lt;GO&gt;, or open curve S490 in ICVS &lt;GO&gt; / SWDF &lt;GO&gt; and export the par rates.
• 6M fixing: TSFR6M Index.
• IMPORTANT: in YAS on your bonds, check which curve the Z-spread is computed against (the curve shown next to Z-spread) — use that same curve here.</t>
  </si>
  <si>
    <t>Settings for USD: Currency = USD (row 4) sets accrual 365.25/360 and YTM compounding 2 automatically.</t>
  </si>
  <si>
    <t>C. Swap curve — EUR</t>
  </si>
  <si>
    <t>Which EUR curve? Use the curve your Z-spreads are measured against. Bloomberg's default for EUR corporate bonds is typically the EUR swap curve vs 6M EURIBOR; if your Z-spreads are vs €STR, set row 14 to ESTR.</t>
  </si>
  <si>
    <t>Free / open internet:
• Chatham Financial — European market rates (EURIBOR swap rates): https://www.chathamfinancial.com/technology/european-market-rates
• ICE Benchmark Administration — EUR EURIBOR ICE Swap Rate (published ~11:15 CET) and EUR €STR ICE Swap Rate, 1Y–30Y: https://www.ice.com/iba/ice-swap-rate
• 6M EURIBOR fixing: EMMI (euribor-rates.eu / emmi-benchmarks.eu; free with a 24h delay). €STR daily rate: ECB website (ecb.europa.eu) — note this is overnight, not a swap curve.</t>
  </si>
  <si>
    <t>Bloomberg:
• vs 6M EURIBOR (annual 30/360 fixed): EUSA1 Curncy … EUSA10, EUSA12, EUSA15, EUSA20, EUSA25, EUSA30 Curncy; 6M fixing EUR006M Index. Curve in ICVS: S45.
• vs €STR (annual ACT/360): EESWE1 Curncy … EESWE30 Curncy; curve in ICVS: S514. Set row 14 = ESTR.
Settings for EUR: Currency = EUR sets YTM compounding 1 (annual coupons) and accrual 1 (vs Euribor) or 365.25/360 (€STR).</t>
  </si>
  <si>
    <t>D. Bond curves (Z-spread and YTM) — Bloomberg, both currencies</t>
  </si>
  <si>
    <t>Recommended (fitted issuer curve, cleanest):
1. Type the issuer ticker, e.g. XYZ &lt;Corp&gt; then CRVF &lt;GO&gt; (Curve Finder) → search the issuer → choose a BVAL/fitted issuer curve in the loan currency, senior unsecured. Read yields by tenor; for spreads use the same curve in Z-spread mode, or GC &lt;GO&gt; to plot and export (right-click / Export to Excel).
Bond-by-bond (when no fitted curve exists):
2. DDIS &lt;GO&gt; on the issuer: list all senior unsecured bullet bonds in the loan currency. Exclude callables, subordinated, FRNs (for YTM), tiny/illiquid lines.
3. For each bond: &lt;bond&gt; YAS &lt;GO&gt;. Read 'Z-Sprd' (bp, vs the swap curve shown) and 'Yield' (mid or ask, consistently). Note the remaining life in years.
4. Place each value at its nearest whole-year tenor in Inputs rows 28+; if two bonds fall in the same year, average them or interpolate to the exact integer tenor. Leave the other years BLANK — the model interpolates.
5. RV &lt;GO&gt; (relative value) or COMB &lt;GO&gt; shows all issuer bonds on one graph — useful to spot outliers.
Use mid quotes, the same pricing source (BVAL or CBBT) and the same date for all curves.</t>
  </si>
  <si>
    <t>No Bloomberg? Free alternatives are partial: FINRA TRACE (USD corporates; last-trade yields at finra.org → Market Data → Bonds) and exchange pages (e.g. Börse Frankfurt, Euronext) show yields for listed EUR bonds. Z-spreads are not published free; approximate Z ≈ bond YTM (converted to the swap's compounding) − swap rate of the same maturity. Treat results as indicative.</t>
  </si>
  <si>
    <t>E. Recovery rate</t>
  </si>
  <si>
    <t>40% for senior unsecured corporate debt is the market standard (ISDA standard CDS convention for investment-grade). Bloomberg: CDSW &lt;GO&gt; on the issuer's CDS shows the recovery assumption used by the market. Secured loans or senior preferred banks may justify a different R, but the result changes very little.</t>
  </si>
  <si>
    <t>F. Consistency checklist before you rely on the number</t>
  </si>
  <si>
    <t>☐ Same date for swap and bond data  ☐ Z-spreads measured against the swap curve you entered  ☐ Bonds: same issuer, seniority, currency as the loan  ☐ Mid quotes throughout  ☐ Results → Integrity checks = OK  ☐ Results → Warnings reviewed (maturity beyond last bond point?)</t>
  </si>
  <si>
    <t>Curve preparation: gap-filling, YTM conversion, swap bootstrap, semi-annual risk-free grid</t>
  </si>
  <si>
    <t>Calculation sheet — no inputs here.</t>
  </si>
  <si>
    <t>Year k</t>
  </si>
  <si>
    <t>Z raw (bp)</t>
  </si>
  <si>
    <t>prev idx</t>
  </si>
  <si>
    <t>next idx</t>
  </si>
  <si>
    <t>Z filled (bp)</t>
  </si>
  <si>
    <t>Z status</t>
  </si>
  <si>
    <t>YTM raw</t>
  </si>
  <si>
    <t>YTM filled (quoted basis)</t>
  </si>
  <si>
    <t>YTM s.a.-equivalent</t>
  </si>
  <si>
    <t>YTM status</t>
  </si>
  <si>
    <t>Swap raw</t>
  </si>
  <si>
    <t>Swap filled</t>
  </si>
  <si>
    <t>Annual DF</t>
  </si>
  <si>
    <t>Σ DF (annuity)</t>
  </si>
  <si>
    <t>Swap status</t>
  </si>
  <si>
    <t>i</t>
  </si>
  <si>
    <t>t (y)</t>
  </si>
  <si>
    <t>DF(t)</t>
  </si>
  <si>
    <t>f·a = DF(i−1)/DF(i) − 1</t>
  </si>
  <si>
    <t>Σ DF (s.a.)</t>
  </si>
  <si>
    <t>Risk-free par yield s.a. (bullet to t)</t>
  </si>
  <si>
    <t>Last quoted Z-spread tenor</t>
  </si>
  <si>
    <t>Last quoted YTM tenor</t>
  </si>
  <si>
    <t>Last quoted swap tenor</t>
  </si>
  <si>
    <t>Count of Z-spread points</t>
  </si>
  <si>
    <t>Count of YTM points</t>
  </si>
  <si>
    <t>Count of swap points</t>
  </si>
  <si>
    <t>Z curve non-monotonic over quoted range? (1 = yes)</t>
  </si>
  <si>
    <t>YTM curve non-monotonic? (1 = yes)</t>
  </si>
  <si>
    <t>FLOATING loan vs bond Z-spread curve — calibration, loan grid and exact pricing</t>
  </si>
  <si>
    <t>Calculation sheet — no inputs here. Units: per 1 of notional, rates as decimals.</t>
  </si>
  <si>
    <t>Pricing results (per 1 notional)</t>
  </si>
  <si>
    <t>Recovery R</t>
  </si>
  <si>
    <t>WAL = Σ O·a  (years)</t>
  </si>
  <si>
    <t>Accrual a (semi-annual)</t>
  </si>
  <si>
    <t>Risky annuity B = Σ DF·S·a·O</t>
  </si>
  <si>
    <t>Last quoted credit tenor (years)</t>
  </si>
  <si>
    <t>Bond Z-spread at WAL (bp, linear interp.)</t>
  </si>
  <si>
    <t>Drawdown periods D = 2x</t>
  </si>
  <si>
    <t>Shortcut spread (decimal)</t>
  </si>
  <si>
    <t>Repayment instalments = 2y</t>
  </si>
  <si>
    <t>Adjustment X (decimal)</t>
  </si>
  <si>
    <t>Total periods n</t>
  </si>
  <si>
    <t>Loan spread/rate CHARGED = shortcut + X</t>
  </si>
  <si>
    <t>Number of drawdowns (≥1)</t>
  </si>
  <si>
    <t>FAIR (hazard-consistent) spread/rate = Σw·k / Σw</t>
  </si>
  <si>
    <t>NET wedge = fair − charged  (+ = borrower saves)</t>
  </si>
  <si>
    <t>Exposure-weighted risk-free forward Σw·f / Σw</t>
  </si>
  <si>
    <t>PV of saving, per 1 notional = Σ w·(k − charged)</t>
  </si>
  <si>
    <t xml:space="preserve">  of which WAL → maturity (benefit)</t>
  </si>
  <si>
    <t xml:space="preserve">  of which start → WAL (loss)</t>
  </si>
  <si>
    <t>Risky annuity after WAL</t>
  </si>
  <si>
    <t>Avg fair spread/rate after WAL</t>
  </si>
  <si>
    <t>Avg fair spread/rate before WAL</t>
  </si>
  <si>
    <t>CHECK: PV(drawdowns) − PV(loan at charged) — must equal E13</t>
  </si>
  <si>
    <t>CHECK: max bullet repricing error (bp)</t>
  </si>
  <si>
    <t>Minimum forward hazard λ</t>
  </si>
  <si>
    <t>CHECK: WAL via Σt·P − Σt_draw·DD</t>
  </si>
  <si>
    <t>Risk-free par yield at WAL (s.a.)</t>
  </si>
  <si>
    <t>t</t>
  </si>
  <si>
    <t>bucket b</t>
  </si>
  <si>
    <t>Bullet quote q_b (Z)</t>
  </si>
  <si>
    <t>quoted node?</t>
  </si>
  <si>
    <t>f·a</t>
  </si>
  <si>
    <t>K = C(i−1)+q·Ann(i−1)</t>
  </si>
  <si>
    <t>quad a2</t>
  </si>
  <si>
    <t>quad a1</t>
  </si>
  <si>
    <t>quad a0</t>
  </si>
  <si>
    <t>λ_b fwd hazard</t>
  </si>
  <si>
    <t>S(t)</t>
  </si>
  <si>
    <t>C cumulative</t>
  </si>
  <si>
    <t>Ann cumulative</t>
  </si>
  <si>
    <t>Bullet reprices to (b at even i)</t>
  </si>
  <si>
    <t>O outstanding in period</t>
  </si>
  <si>
    <t>P repayment at t</t>
  </si>
  <si>
    <t>DD at t(i−1)</t>
  </si>
  <si>
    <t>PV of drawdown</t>
  </si>
  <si>
    <t>w = DF·S·a·O</t>
  </si>
  <si>
    <t>p = S(i)/S(i−1)</t>
  </si>
  <si>
    <t>c = credit break-even margin</t>
  </si>
  <si>
    <t>f fwd rf rate</t>
  </si>
  <si>
    <t>k = fair spread</t>
  </si>
  <si>
    <t>PV saving = w·(k − charged)</t>
  </si>
  <si>
    <t>fraction of period after WAL</t>
  </si>
  <si>
    <t>PV saving after WAL</t>
  </si>
  <si>
    <t>PV saving before WAL</t>
  </si>
  <si>
    <t>principal-years O·a</t>
  </si>
  <si>
    <t>principal-years after WAL</t>
  </si>
  <si>
    <t>PV loan cashflows at charged</t>
  </si>
  <si>
    <t>DD amount (for WAL check)</t>
  </si>
  <si>
    <t>|repricing error| bp</t>
  </si>
  <si>
    <t>FIXED-rate loan vs bond YTM curve — calibration, loan grid and exact pricing</t>
  </si>
  <si>
    <t>Bond YTM at WAL (quoted basis, linear interp.)</t>
  </si>
  <si>
    <t>Shortcut rate, semi-annual equivalent</t>
  </si>
  <si>
    <t>Bullet quote q_b (s.a.)</t>
  </si>
  <si>
    <t>k = fair fixed rate (f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</si>
</sst>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
    <numFmt numFmtId="165" formatCode="dd\-mmm\-yyyy"/>
    <numFmt numFmtId="166" formatCode="0.0%"/>
    <numFmt numFmtId="167" formatCode="0.000000"/>
    <numFmt numFmtId="168" formatCode="0.0000%"/>
    <numFmt numFmtId="169" formatCode="0.000%"/>
    <numFmt numFmtId="170" formatCode="0.0&quot; y&quot;"/>
    <numFmt numFmtId="171" formatCode="0.0000&quot; y&quot;"/>
    <numFmt numFmtId="172" formatCode="0.0000"/>
    <numFmt numFmtId="173" formatCode="0.00&quot; bp&quot;"/>
    <numFmt numFmtId="174" formatCode="0.00&quot; bp&quot;;\-0.00&quot; bp&quot;;0.00&quot; bp&quot;"/>
    <numFmt numFmtId="175" formatCode="#,##0;\(#,##0\);\-"/>
    <numFmt numFmtId="176" formatCode="0.000&quot; y&quot;"/>
    <numFmt numFmtId="177" formatCode="0.00000000"/>
    <numFmt numFmtId="178" formatCode="0.0000000000"/>
  </numFmts>
  <fonts count="12" x14ac:knownFonts="1">
    <font>
      <sz val="11"/>
      <color theme="1"/>
      <name val="Calibri"/>
      <family val="2"/>
      <charset val="1"/>
    </font>
    <font>
      <sz val="10"/>
      <name val="Arial"/>
      <family val="2"/>
    </font>
    <font>
      <b/>
      <sz val="14"/>
      <name val="Arial"/>
      <family val="2"/>
    </font>
    <font>
      <b/>
      <sz val="12"/>
      <color rgb="FF1F3864"/>
      <name val="Arial"/>
      <family val="2"/>
    </font>
    <font>
      <sz val="10"/>
      <name val="Arial"/>
      <family val="2"/>
    </font>
    <font>
      <sz val="10"/>
      <color rgb="FF1F3864"/>
      <name val="Consolas"/>
      <family val="2"/>
    </font>
    <font>
      <i/>
      <sz val="10"/>
      <color rgb="FF595959"/>
      <name val="Arial"/>
      <family val="2"/>
    </font>
    <font>
      <b/>
      <sz val="10"/>
      <name val="Arial"/>
      <family val="2"/>
    </font>
    <font>
      <sz val="10"/>
      <color rgb="FF0000FF"/>
      <name val="Arial"/>
      <family val="2"/>
    </font>
    <font>
      <b/>
      <sz val="10"/>
      <color rgb="FFFFFFFF"/>
      <name val="Arial"/>
      <family val="2"/>
    </font>
    <font>
      <b/>
      <i/>
      <sz val="10"/>
      <color rgb="FFC00000"/>
      <name val="Arial"/>
      <family val="2"/>
    </font>
    <font>
      <sz val="10"/>
      <color rgb="FF008000"/>
      <name val="Arial"/>
      <family val="2"/>
    </font>
  </fonts>
  <fills count="7">
    <fill>
      <patternFill patternType="none"/>
    </fill>
    <fill>
      <patternFill patternType="gray125"/>
    </fill>
    <fill>
      <patternFill patternType="solid">
        <fgColor rgb="FFD9E1F2"/>
        <bgColor rgb="FFE2EFDA"/>
      </patternFill>
    </fill>
    <fill>
      <patternFill patternType="solid">
        <fgColor rgb="FFF2F2F2"/>
        <bgColor rgb="FFE2EFDA"/>
      </patternFill>
    </fill>
    <fill>
      <patternFill patternType="solid">
        <fgColor rgb="FFFFFF99"/>
        <bgColor rgb="FFE2EFDA"/>
      </patternFill>
    </fill>
    <fill>
      <patternFill patternType="solid">
        <fgColor rgb="FF1F3864"/>
        <bgColor rgb="FF333333"/>
      </patternFill>
    </fill>
    <fill>
      <patternFill patternType="solid">
        <fgColor rgb="FFE2EFDA"/>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8">
    <xf numFmtId="0" fontId="0" fillId="0" borderId="0" xfId="0"/>
    <xf numFmtId="0" fontId="2" fillId="0" borderId="0" xfId="0" applyFont="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5" fillId="3" borderId="0" xfId="0" applyFont="1" applyFill="1" applyAlignment="1">
      <alignment vertical="top" wrapText="1"/>
    </xf>
    <xf numFmtId="0" fontId="2" fillId="0" borderId="0" xfId="0" applyFont="1"/>
    <xf numFmtId="0" fontId="6" fillId="0" borderId="0" xfId="0" applyFont="1"/>
    <xf numFmtId="0" fontId="7" fillId="2" borderId="0" xfId="0" applyFont="1" applyFill="1"/>
    <xf numFmtId="0" fontId="0" fillId="2" borderId="0" xfId="0" applyFill="1"/>
    <xf numFmtId="0" fontId="4" fillId="0" borderId="0" xfId="0" applyFont="1"/>
    <xf numFmtId="0" fontId="8" fillId="4" borderId="1" xfId="0" applyFont="1" applyFill="1" applyBorder="1"/>
    <xf numFmtId="0" fontId="6" fillId="0" borderId="0" xfId="0" applyFont="1" applyAlignment="1">
      <alignment vertical="top" wrapText="1"/>
    </xf>
    <xf numFmtId="3" fontId="8" fillId="4" borderId="1" xfId="0" applyNumberFormat="1" applyFont="1" applyFill="1" applyBorder="1"/>
    <xf numFmtId="164" fontId="8" fillId="4" borderId="1" xfId="0" applyNumberFormat="1" applyFont="1" applyFill="1" applyBorder="1"/>
    <xf numFmtId="2" fontId="8" fillId="4" borderId="1" xfId="0" applyNumberFormat="1" applyFont="1" applyFill="1" applyBorder="1"/>
    <xf numFmtId="165" fontId="8" fillId="4" borderId="1" xfId="0" applyNumberFormat="1" applyFont="1" applyFill="1" applyBorder="1"/>
    <xf numFmtId="166" fontId="8" fillId="4" borderId="1" xfId="0" applyNumberFormat="1" applyFont="1" applyFill="1" applyBorder="1"/>
    <xf numFmtId="167" fontId="8" fillId="4" borderId="1" xfId="0" applyNumberFormat="1" applyFont="1" applyFill="1" applyBorder="1"/>
    <xf numFmtId="167" fontId="4" fillId="3" borderId="1" xfId="0" applyNumberFormat="1" applyFont="1" applyFill="1" applyBorder="1"/>
    <xf numFmtId="1" fontId="8" fillId="4" borderId="1" xfId="0" applyNumberFormat="1" applyFont="1" applyFill="1" applyBorder="1"/>
    <xf numFmtId="1" fontId="4" fillId="3" borderId="1" xfId="0" applyNumberFormat="1" applyFont="1" applyFill="1" applyBorder="1"/>
    <xf numFmtId="168" fontId="8" fillId="4" borderId="1" xfId="0" applyNumberFormat="1" applyFont="1" applyFill="1" applyBorder="1"/>
    <xf numFmtId="0" fontId="9" fillId="5" borderId="1" xfId="0" applyFont="1" applyFill="1" applyBorder="1" applyAlignment="1">
      <alignment horizontal="center" vertical="center" wrapText="1"/>
    </xf>
    <xf numFmtId="0" fontId="7" fillId="0" borderId="0" xfId="0" applyFont="1"/>
    <xf numFmtId="0" fontId="0" fillId="0" borderId="0" xfId="0" applyAlignment="1">
      <alignment horizontal="center"/>
    </xf>
    <xf numFmtId="169" fontId="8" fillId="4" borderId="1" xfId="0" applyNumberFormat="1" applyFont="1" applyFill="1" applyBorder="1"/>
    <xf numFmtId="0" fontId="10" fillId="0" borderId="0" xfId="0" applyFont="1"/>
    <xf numFmtId="170" fontId="4" fillId="0" borderId="1" xfId="0" applyNumberFormat="1" applyFont="1" applyBorder="1" applyAlignment="1">
      <alignment horizontal="right"/>
    </xf>
    <xf numFmtId="171" fontId="4" fillId="0" borderId="1" xfId="0" applyNumberFormat="1" applyFont="1" applyBorder="1" applyAlignment="1">
      <alignment horizontal="right"/>
    </xf>
    <xf numFmtId="172" fontId="4" fillId="0" borderId="1" xfId="0" applyNumberFormat="1" applyFont="1" applyBorder="1" applyAlignment="1">
      <alignment horizontal="right"/>
    </xf>
    <xf numFmtId="173" fontId="4" fillId="0" borderId="1" xfId="0" applyNumberFormat="1" applyFont="1" applyBorder="1" applyAlignment="1">
      <alignment horizontal="right"/>
    </xf>
    <xf numFmtId="168" fontId="4" fillId="0" borderId="1" xfId="0" applyNumberFormat="1" applyFont="1" applyBorder="1" applyAlignment="1">
      <alignment horizontal="right"/>
    </xf>
    <xf numFmtId="174" fontId="7" fillId="6" borderId="1" xfId="0" applyNumberFormat="1" applyFont="1" applyFill="1" applyBorder="1" applyAlignment="1">
      <alignment horizontal="right"/>
    </xf>
    <xf numFmtId="10" fontId="4" fillId="0" borderId="1" xfId="0" applyNumberFormat="1" applyFont="1" applyBorder="1" applyAlignment="1">
      <alignment horizontal="right"/>
    </xf>
    <xf numFmtId="175" fontId="7" fillId="6" borderId="1" xfId="0" applyNumberFormat="1" applyFont="1" applyFill="1" applyBorder="1" applyAlignment="1">
      <alignment horizontal="right"/>
    </xf>
    <xf numFmtId="175" fontId="4" fillId="0" borderId="1" xfId="0" applyNumberFormat="1" applyFont="1" applyBorder="1" applyAlignment="1">
      <alignment horizontal="right"/>
    </xf>
    <xf numFmtId="174" fontId="4" fillId="0" borderId="1" xfId="0" applyNumberFormat="1" applyFont="1" applyBorder="1" applyAlignment="1">
      <alignment horizontal="right"/>
    </xf>
    <xf numFmtId="176" fontId="4" fillId="0" borderId="1" xfId="0" applyNumberFormat="1" applyFont="1" applyBorder="1" applyAlignment="1">
      <alignment horizontal="right"/>
    </xf>
    <xf numFmtId="167" fontId="4" fillId="0" borderId="1" xfId="0" applyNumberFormat="1" applyFont="1" applyBorder="1" applyAlignment="1">
      <alignment horizontal="right"/>
    </xf>
    <xf numFmtId="0" fontId="4" fillId="0" borderId="1" xfId="0" applyFont="1" applyBorder="1" applyAlignment="1">
      <alignment horizontal="right"/>
    </xf>
    <xf numFmtId="2" fontId="11" fillId="0" borderId="0" xfId="0" applyNumberFormat="1" applyFont="1"/>
    <xf numFmtId="2" fontId="0" fillId="0" borderId="0" xfId="0" applyNumberFormat="1"/>
    <xf numFmtId="168" fontId="11" fillId="0" borderId="0" xfId="0" applyNumberFormat="1" applyFont="1"/>
    <xf numFmtId="168" fontId="0" fillId="0" borderId="0" xfId="0" applyNumberFormat="1"/>
    <xf numFmtId="177" fontId="0" fillId="0" borderId="0" xfId="0" applyNumberFormat="1"/>
    <xf numFmtId="167" fontId="0" fillId="0" borderId="0" xfId="0" applyNumberFormat="1"/>
    <xf numFmtId="0" fontId="11" fillId="0" borderId="0" xfId="0" applyFont="1"/>
    <xf numFmtId="166" fontId="11" fillId="0" borderId="0" xfId="0" applyNumberFormat="1" applyFont="1"/>
    <xf numFmtId="172" fontId="0" fillId="6" borderId="0" xfId="0" applyNumberFormat="1" applyFill="1"/>
    <xf numFmtId="164" fontId="0" fillId="0" borderId="0" xfId="0" applyNumberFormat="1"/>
    <xf numFmtId="167" fontId="0" fillId="6" borderId="0" xfId="0" applyNumberFormat="1" applyFill="1"/>
    <xf numFmtId="168" fontId="0" fillId="6" borderId="0" xfId="0" applyNumberFormat="1" applyFill="1"/>
    <xf numFmtId="177" fontId="0" fillId="6" borderId="0" xfId="0" applyNumberFormat="1" applyFill="1"/>
    <xf numFmtId="164" fontId="0" fillId="6" borderId="0" xfId="0" applyNumberFormat="1" applyFill="1"/>
    <xf numFmtId="177" fontId="11" fillId="0" borderId="0" xfId="0" applyNumberFormat="1" applyFont="1"/>
    <xf numFmtId="178" fontId="0" fillId="0" borderId="0" xfId="0" applyNumberFormat="1"/>
    <xf numFmtId="0" fontId="1" fillId="0" borderId="0" xfId="0" applyFont="1"/>
    <xf numFmtId="0" fontId="1" fillId="0" borderId="0" xfId="0" applyFont="1" applyAlignment="1">
      <alignment vertical="top" wrapText="1"/>
    </xf>
  </cellXfs>
  <cellStyles count="1">
    <cellStyle name="Normal" xfId="0" builtinId="0"/>
  </cellStyles>
  <dxfs count="7">
    <dxf>
      <font>
        <b/>
        <sz val="10"/>
        <color rgb="FF006100"/>
        <name val="Arial"/>
        <charset val="1"/>
      </font>
      <fill>
        <patternFill>
          <bgColor rgb="FFC6EF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006100"/>
        <name val="Arial"/>
        <charset val="1"/>
      </font>
      <fill>
        <patternFill>
          <bgColor rgb="FFC6EFCE"/>
        </patternFill>
      </fill>
    </dxf>
    <dxf>
      <font>
        <b/>
        <sz val="10"/>
        <color rgb="FF9C0006"/>
        <name val="Arial"/>
        <charset val="1"/>
      </font>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595959"/>
      <rgbColor rgb="FF70AD47"/>
      <rgbColor rgb="FF1F3864"/>
      <rgbColor rgb="FF339966"/>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54"/>
  <sheetViews>
    <sheetView showGridLines="0" topLeftCell="A9" zoomScale="130" zoomScaleNormal="130" workbookViewId="0">
      <selection activeCell="B13" sqref="B13"/>
    </sheetView>
  </sheetViews>
  <sheetFormatPr baseColWidth="10" defaultColWidth="8.6640625" defaultRowHeight="15" x14ac:dyDescent="0.2"/>
  <cols>
    <col min="1" max="1" width="2" customWidth="1"/>
    <col min="2" max="2" width="135" customWidth="1"/>
  </cols>
  <sheetData>
    <row r="1" spans="2:2" ht="15" customHeight="1" x14ac:dyDescent="0.2">
      <c r="B1" s="1" t="s">
        <v>0</v>
      </c>
    </row>
    <row r="2" spans="2:2" ht="15" customHeight="1" x14ac:dyDescent="0.2">
      <c r="B2" s="2" t="s">
        <v>1</v>
      </c>
    </row>
    <row r="3" spans="2:2" ht="55.5" customHeight="1" x14ac:dyDescent="0.2">
      <c r="B3" s="3" t="s">
        <v>2</v>
      </c>
    </row>
    <row r="4" spans="2:2" ht="42" customHeight="1" x14ac:dyDescent="0.2">
      <c r="B4" s="3" t="s">
        <v>3</v>
      </c>
    </row>
    <row r="5" spans="2:2" ht="15" customHeight="1" x14ac:dyDescent="0.2">
      <c r="B5" s="2" t="s">
        <v>4</v>
      </c>
    </row>
    <row r="6" spans="2:2" ht="27.75" customHeight="1" x14ac:dyDescent="0.2">
      <c r="B6" s="3" t="s">
        <v>5</v>
      </c>
    </row>
    <row r="7" spans="2:2" ht="55.5" customHeight="1" x14ac:dyDescent="0.2">
      <c r="B7" s="3" t="s">
        <v>6</v>
      </c>
    </row>
    <row r="8" spans="2:2" ht="27.75" customHeight="1" x14ac:dyDescent="0.2">
      <c r="B8" s="3" t="s">
        <v>7</v>
      </c>
    </row>
    <row r="9" spans="2:2" ht="27.75" customHeight="1" x14ac:dyDescent="0.2">
      <c r="B9" s="3" t="s">
        <v>8</v>
      </c>
    </row>
    <row r="10" spans="2:2" ht="27.75" customHeight="1" x14ac:dyDescent="0.2">
      <c r="B10" s="3" t="s">
        <v>9</v>
      </c>
    </row>
    <row r="11" spans="2:2" ht="15" customHeight="1" x14ac:dyDescent="0.2">
      <c r="B11" s="2" t="s">
        <v>10</v>
      </c>
    </row>
    <row r="12" spans="2:2" ht="55.5" customHeight="1" x14ac:dyDescent="0.2">
      <c r="B12" s="3" t="s">
        <v>11</v>
      </c>
    </row>
    <row r="13" spans="2:2" ht="42" customHeight="1" x14ac:dyDescent="0.2">
      <c r="B13" s="57" t="s">
        <v>12</v>
      </c>
    </row>
    <row r="14" spans="2:2" ht="15" customHeight="1" x14ac:dyDescent="0.2">
      <c r="B14" s="3" t="s">
        <v>13</v>
      </c>
    </row>
    <row r="15" spans="2:2" ht="42" customHeight="1" x14ac:dyDescent="0.2">
      <c r="B15" s="3" t="s">
        <v>14</v>
      </c>
    </row>
    <row r="16" spans="2:2" ht="27.75" customHeight="1" x14ac:dyDescent="0.2">
      <c r="B16" s="3" t="s">
        <v>15</v>
      </c>
    </row>
    <row r="17" spans="2:2" ht="15" customHeight="1" x14ac:dyDescent="0.2">
      <c r="B17" s="2" t="s">
        <v>16</v>
      </c>
    </row>
    <row r="18" spans="2:2" ht="15" customHeight="1" x14ac:dyDescent="0.2">
      <c r="B18" s="2" t="s">
        <v>17</v>
      </c>
    </row>
    <row r="19" spans="2:2" ht="27.75" customHeight="1" x14ac:dyDescent="0.2">
      <c r="B19" s="4" t="s">
        <v>18</v>
      </c>
    </row>
    <row r="20" spans="2:2" ht="15" customHeight="1" x14ac:dyDescent="0.2">
      <c r="B20" s="4" t="s">
        <v>19</v>
      </c>
    </row>
    <row r="21" spans="2:2" ht="15" customHeight="1" x14ac:dyDescent="0.2">
      <c r="B21" s="2" t="s">
        <v>20</v>
      </c>
    </row>
    <row r="22" spans="2:2" ht="15" customHeight="1" x14ac:dyDescent="0.2">
      <c r="B22" s="4" t="s">
        <v>21</v>
      </c>
    </row>
    <row r="23" spans="2:2" ht="27.75" customHeight="1" x14ac:dyDescent="0.2">
      <c r="B23" s="4" t="s">
        <v>22</v>
      </c>
    </row>
    <row r="24" spans="2:2" ht="15" customHeight="1" x14ac:dyDescent="0.2">
      <c r="B24" s="4" t="s">
        <v>23</v>
      </c>
    </row>
    <row r="25" spans="2:2" ht="27.75" customHeight="1" x14ac:dyDescent="0.2">
      <c r="B25" s="3" t="s">
        <v>24</v>
      </c>
    </row>
    <row r="26" spans="2:2" ht="15" customHeight="1" x14ac:dyDescent="0.2">
      <c r="B26" s="2" t="s">
        <v>25</v>
      </c>
    </row>
    <row r="27" spans="2:2" ht="42" customHeight="1" x14ac:dyDescent="0.2">
      <c r="B27" s="3" t="s">
        <v>26</v>
      </c>
    </row>
    <row r="28" spans="2:2" ht="15" customHeight="1" x14ac:dyDescent="0.2">
      <c r="B28" s="4" t="s">
        <v>27</v>
      </c>
    </row>
    <row r="29" spans="2:2" ht="27.75" customHeight="1" x14ac:dyDescent="0.2">
      <c r="B29" s="4" t="s">
        <v>28</v>
      </c>
    </row>
    <row r="30" spans="2:2" ht="27.75" customHeight="1" x14ac:dyDescent="0.2">
      <c r="B30" s="4" t="s">
        <v>29</v>
      </c>
    </row>
    <row r="31" spans="2:2" ht="27.75" customHeight="1" x14ac:dyDescent="0.2">
      <c r="B31" s="3" t="s">
        <v>30</v>
      </c>
    </row>
    <row r="32" spans="2:2" ht="15" customHeight="1" x14ac:dyDescent="0.2">
      <c r="B32" s="2" t="s">
        <v>31</v>
      </c>
    </row>
    <row r="33" spans="2:2" ht="27.75" customHeight="1" x14ac:dyDescent="0.2">
      <c r="B33" s="4" t="s">
        <v>32</v>
      </c>
    </row>
    <row r="34" spans="2:2" ht="15" customHeight="1" x14ac:dyDescent="0.2">
      <c r="B34" s="4" t="s">
        <v>33</v>
      </c>
    </row>
    <row r="35" spans="2:2" ht="15" customHeight="1" x14ac:dyDescent="0.2">
      <c r="B35" s="2" t="s">
        <v>34</v>
      </c>
    </row>
    <row r="36" spans="2:2" ht="15" customHeight="1" x14ac:dyDescent="0.2">
      <c r="B36" s="4" t="s">
        <v>35</v>
      </c>
    </row>
    <row r="37" spans="2:2" ht="27.75" customHeight="1" x14ac:dyDescent="0.2">
      <c r="B37" s="4" t="s">
        <v>36</v>
      </c>
    </row>
    <row r="38" spans="2:2" ht="15" customHeight="1" x14ac:dyDescent="0.2">
      <c r="B38" s="2" t="s">
        <v>37</v>
      </c>
    </row>
    <row r="39" spans="2:2" ht="15" customHeight="1" x14ac:dyDescent="0.2">
      <c r="B39" s="3" t="s">
        <v>38</v>
      </c>
    </row>
    <row r="40" spans="2:2" ht="15" customHeight="1" x14ac:dyDescent="0.2">
      <c r="B40" s="4" t="s">
        <v>39</v>
      </c>
    </row>
    <row r="41" spans="2:2" ht="15" customHeight="1" x14ac:dyDescent="0.2">
      <c r="B41" s="4" t="s">
        <v>40</v>
      </c>
    </row>
    <row r="42" spans="2:2" ht="27.75" customHeight="1" x14ac:dyDescent="0.2">
      <c r="B42" s="4" t="s">
        <v>41</v>
      </c>
    </row>
    <row r="43" spans="2:2" ht="15" customHeight="1" x14ac:dyDescent="0.2">
      <c r="B43" s="4" t="s">
        <v>42</v>
      </c>
    </row>
    <row r="44" spans="2:2" ht="27.75" customHeight="1" x14ac:dyDescent="0.2">
      <c r="B44" s="3" t="s">
        <v>43</v>
      </c>
    </row>
    <row r="45" spans="2:2" ht="15" customHeight="1" x14ac:dyDescent="0.2">
      <c r="B45" s="2" t="s">
        <v>44</v>
      </c>
    </row>
    <row r="46" spans="2:2" ht="27.75" customHeight="1" x14ac:dyDescent="0.2">
      <c r="B46" s="4" t="s">
        <v>45</v>
      </c>
    </row>
    <row r="47" spans="2:2" ht="27.75" customHeight="1" x14ac:dyDescent="0.2">
      <c r="B47" s="4" t="s">
        <v>46</v>
      </c>
    </row>
    <row r="48" spans="2:2" ht="27.75" customHeight="1" x14ac:dyDescent="0.2">
      <c r="B48" s="4" t="s">
        <v>47</v>
      </c>
    </row>
    <row r="49" spans="2:2" ht="15" customHeight="1" x14ac:dyDescent="0.2">
      <c r="B49" s="4" t="s">
        <v>48</v>
      </c>
    </row>
    <row r="50" spans="2:2" ht="15" customHeight="1" x14ac:dyDescent="0.2">
      <c r="B50" s="2" t="s">
        <v>49</v>
      </c>
    </row>
    <row r="51" spans="2:2" ht="139.5" customHeight="1" x14ac:dyDescent="0.2">
      <c r="B51" s="3" t="s">
        <v>50</v>
      </c>
    </row>
    <row r="52" spans="2:2" ht="15" customHeight="1" x14ac:dyDescent="0.2">
      <c r="B52" s="2" t="s">
        <v>51</v>
      </c>
    </row>
    <row r="53" spans="2:2" ht="69.75" customHeight="1" x14ac:dyDescent="0.2">
      <c r="B53" s="3" t="s">
        <v>52</v>
      </c>
    </row>
    <row r="54" spans="2:2" ht="55.5" customHeight="1" x14ac:dyDescent="0.2">
      <c r="B54" s="3" t="s">
        <v>53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B1:F57"/>
  <sheetViews>
    <sheetView showGridLines="0" tabSelected="1" topLeftCell="B1" zoomScaleNormal="100" workbookViewId="0">
      <pane ySplit="3" topLeftCell="A19" activePane="bottomLeft" state="frozen"/>
      <selection pane="bottomLeft" activeCell="E57" sqref="B26:E57"/>
    </sheetView>
  </sheetViews>
  <sheetFormatPr baseColWidth="10" defaultColWidth="8.6640625" defaultRowHeight="15" x14ac:dyDescent="0.2"/>
  <cols>
    <col min="1" max="1" width="2" customWidth="1"/>
    <col min="2" max="2" width="52" customWidth="1"/>
    <col min="3" max="3" width="18" customWidth="1"/>
    <col min="4" max="5" width="16" customWidth="1"/>
    <col min="6" max="6" width="70" customWidth="1"/>
  </cols>
  <sheetData>
    <row r="1" spans="2:6" ht="18" x14ac:dyDescent="0.2">
      <c r="B1" s="5" t="s">
        <v>54</v>
      </c>
    </row>
    <row r="2" spans="2:6" x14ac:dyDescent="0.2">
      <c r="B2" s="6" t="s">
        <v>55</v>
      </c>
    </row>
    <row r="3" spans="2:6" x14ac:dyDescent="0.2">
      <c r="B3" s="7" t="s">
        <v>56</v>
      </c>
      <c r="C3" s="8"/>
      <c r="D3" s="8"/>
      <c r="E3" s="8"/>
      <c r="F3" s="8"/>
    </row>
    <row r="4" spans="2:6" x14ac:dyDescent="0.2">
      <c r="B4" s="9" t="s">
        <v>57</v>
      </c>
      <c r="C4" s="10" t="s">
        <v>58</v>
      </c>
      <c r="F4" s="11" t="s">
        <v>59</v>
      </c>
    </row>
    <row r="5" spans="2:6" x14ac:dyDescent="0.2">
      <c r="B5" s="9" t="s">
        <v>60</v>
      </c>
      <c r="C5" s="12">
        <v>5000000000</v>
      </c>
      <c r="F5" s="11" t="s">
        <v>61</v>
      </c>
    </row>
    <row r="6" spans="2:6" ht="28" x14ac:dyDescent="0.2">
      <c r="B6" s="9" t="s">
        <v>62</v>
      </c>
      <c r="C6" s="13">
        <v>1</v>
      </c>
      <c r="F6" s="11" t="s">
        <v>63</v>
      </c>
    </row>
    <row r="7" spans="2:6" ht="28" x14ac:dyDescent="0.2">
      <c r="B7" s="9" t="s">
        <v>64</v>
      </c>
      <c r="C7" s="13">
        <v>23</v>
      </c>
      <c r="F7" s="11" t="s">
        <v>65</v>
      </c>
    </row>
    <row r="8" spans="2:6" ht="28" x14ac:dyDescent="0.2">
      <c r="B8" s="9" t="s">
        <v>66</v>
      </c>
      <c r="C8" s="14">
        <v>0</v>
      </c>
      <c r="F8" s="11" t="s">
        <v>67</v>
      </c>
    </row>
    <row r="9" spans="2:6" x14ac:dyDescent="0.2">
      <c r="B9" s="9" t="s">
        <v>68</v>
      </c>
      <c r="C9" s="14">
        <v>0</v>
      </c>
      <c r="F9" s="11" t="s">
        <v>69</v>
      </c>
    </row>
    <row r="10" spans="2:6" x14ac:dyDescent="0.2">
      <c r="B10" s="9" t="s">
        <v>70</v>
      </c>
      <c r="C10" s="15">
        <v>46321</v>
      </c>
      <c r="F10" s="11" t="s">
        <v>71</v>
      </c>
    </row>
    <row r="12" spans="2:6" x14ac:dyDescent="0.2">
      <c r="B12" s="7" t="s">
        <v>72</v>
      </c>
      <c r="C12" s="8"/>
      <c r="D12" s="8"/>
      <c r="E12" s="8"/>
      <c r="F12" s="8"/>
    </row>
    <row r="13" spans="2:6" ht="28" x14ac:dyDescent="0.2">
      <c r="B13" s="9" t="s">
        <v>73</v>
      </c>
      <c r="C13" s="16">
        <v>0.4</v>
      </c>
      <c r="F13" s="11" t="s">
        <v>74</v>
      </c>
    </row>
    <row r="14" spans="2:6" ht="42" x14ac:dyDescent="0.2">
      <c r="B14" s="9" t="s">
        <v>75</v>
      </c>
      <c r="C14" s="10" t="s">
        <v>76</v>
      </c>
      <c r="F14" s="11" t="s">
        <v>77</v>
      </c>
    </row>
    <row r="15" spans="2:6" ht="28" x14ac:dyDescent="0.2">
      <c r="B15" s="9" t="s">
        <v>78</v>
      </c>
      <c r="C15" s="17"/>
      <c r="F15" s="11" t="s">
        <v>79</v>
      </c>
    </row>
    <row r="16" spans="2:6" x14ac:dyDescent="0.2">
      <c r="B16" s="9" t="s">
        <v>80</v>
      </c>
      <c r="C16" s="18">
        <f>IF(C15&lt;&gt;"",C15,IF(C4="USD",365.25/360,IF(C14="ESTR",365.25/360,1)))</f>
        <v>1</v>
      </c>
      <c r="F16" s="11" t="s">
        <v>81</v>
      </c>
    </row>
    <row r="17" spans="2:6" x14ac:dyDescent="0.2">
      <c r="B17" s="9" t="s">
        <v>82</v>
      </c>
      <c r="C17" s="19"/>
      <c r="F17" s="11" t="s">
        <v>83</v>
      </c>
    </row>
    <row r="18" spans="2:6" x14ac:dyDescent="0.2">
      <c r="B18" s="9" t="s">
        <v>84</v>
      </c>
      <c r="C18" s="20">
        <f>IF(C17&lt;&gt;"",C17,IF(C4="USD",2,1))</f>
        <v>1</v>
      </c>
      <c r="F18" s="11" t="s">
        <v>81</v>
      </c>
    </row>
    <row r="19" spans="2:6" ht="28" x14ac:dyDescent="0.2">
      <c r="B19" s="9" t="s">
        <v>85</v>
      </c>
      <c r="C19" s="21">
        <v>3.0190000000000002E-2</v>
      </c>
      <c r="F19" s="11" t="s">
        <v>86</v>
      </c>
    </row>
    <row r="21" spans="2:6" x14ac:dyDescent="0.2">
      <c r="B21" s="7" t="s">
        <v>87</v>
      </c>
      <c r="C21" s="8"/>
      <c r="D21" s="8"/>
      <c r="E21" s="8"/>
      <c r="F21" s="8"/>
    </row>
    <row r="22" spans="2:6" x14ac:dyDescent="0.2">
      <c r="B22" s="9" t="s">
        <v>88</v>
      </c>
      <c r="C22" s="14">
        <v>0</v>
      </c>
      <c r="F22" s="11" t="s">
        <v>89</v>
      </c>
    </row>
    <row r="23" spans="2:6" x14ac:dyDescent="0.2">
      <c r="B23" s="9" t="s">
        <v>90</v>
      </c>
      <c r="C23" s="14">
        <v>0</v>
      </c>
      <c r="F23" s="11" t="s">
        <v>91</v>
      </c>
    </row>
    <row r="24" spans="2:6" x14ac:dyDescent="0.2">
      <c r="B24" s="9" t="s">
        <v>92</v>
      </c>
      <c r="C24" s="14">
        <v>0</v>
      </c>
      <c r="F24" s="11" t="s">
        <v>93</v>
      </c>
    </row>
    <row r="26" spans="2:6" x14ac:dyDescent="0.2">
      <c r="B26" s="7" t="s">
        <v>94</v>
      </c>
      <c r="C26" s="8"/>
      <c r="D26" s="8"/>
      <c r="E26" s="8"/>
      <c r="F26" s="8"/>
    </row>
    <row r="27" spans="2:6" ht="42" customHeight="1" x14ac:dyDescent="0.2">
      <c r="B27" s="22" t="s">
        <v>95</v>
      </c>
      <c r="C27" s="22" t="s">
        <v>96</v>
      </c>
      <c r="D27" s="22" t="s">
        <v>97</v>
      </c>
      <c r="E27" s="22" t="s">
        <v>98</v>
      </c>
      <c r="F27" s="23" t="s">
        <v>99</v>
      </c>
    </row>
    <row r="28" spans="2:6" x14ac:dyDescent="0.2">
      <c r="B28" s="24" t="s">
        <v>100</v>
      </c>
      <c r="C28" s="14">
        <v>-19</v>
      </c>
      <c r="D28" s="25">
        <v>3.032E-2</v>
      </c>
      <c r="E28" s="25">
        <v>3.27E-2</v>
      </c>
      <c r="F28" s="6" t="s">
        <v>101</v>
      </c>
    </row>
    <row r="29" spans="2:6" x14ac:dyDescent="0.2">
      <c r="B29" s="24" t="s">
        <v>102</v>
      </c>
      <c r="C29" s="14">
        <v>-15</v>
      </c>
      <c r="D29" s="25">
        <v>3.2419999999999997E-2</v>
      </c>
      <c r="E29" s="25">
        <v>3.4200000000000001E-2</v>
      </c>
      <c r="F29" s="6" t="s">
        <v>103</v>
      </c>
    </row>
    <row r="30" spans="2:6" x14ac:dyDescent="0.2">
      <c r="B30" s="24" t="s">
        <v>104</v>
      </c>
      <c r="C30" s="14">
        <v>-14</v>
      </c>
      <c r="D30" s="25">
        <v>3.3489999999999999E-2</v>
      </c>
      <c r="E30" s="25">
        <v>3.4500000000000003E-2</v>
      </c>
    </row>
    <row r="31" spans="2:6" x14ac:dyDescent="0.2">
      <c r="B31" s="24" t="s">
        <v>105</v>
      </c>
      <c r="C31" s="14">
        <v>-2</v>
      </c>
      <c r="D31" s="25">
        <v>3.431E-2</v>
      </c>
      <c r="E31" s="25">
        <v>3.44E-2</v>
      </c>
    </row>
    <row r="32" spans="2:6" x14ac:dyDescent="0.2">
      <c r="B32" s="24" t="s">
        <v>106</v>
      </c>
      <c r="C32" s="14">
        <v>6</v>
      </c>
      <c r="D32" s="25">
        <v>3.5220000000000001E-2</v>
      </c>
      <c r="E32" s="25">
        <v>3.44E-2</v>
      </c>
    </row>
    <row r="33" spans="2:6" x14ac:dyDescent="0.2">
      <c r="B33" s="24" t="s">
        <v>107</v>
      </c>
      <c r="C33" s="14">
        <v>13</v>
      </c>
      <c r="D33" s="25">
        <v>3.5970000000000002E-2</v>
      </c>
      <c r="E33" s="25">
        <v>3.44E-2</v>
      </c>
    </row>
    <row r="34" spans="2:6" x14ac:dyDescent="0.2">
      <c r="B34" s="24" t="s">
        <v>108</v>
      </c>
      <c r="C34" s="14">
        <v>24</v>
      </c>
      <c r="D34" s="25">
        <v>3.7260000000000001E-2</v>
      </c>
      <c r="E34" s="25">
        <v>3.44E-2</v>
      </c>
    </row>
    <row r="35" spans="2:6" x14ac:dyDescent="0.2">
      <c r="B35" s="24" t="s">
        <v>109</v>
      </c>
      <c r="C35" s="14">
        <v>30</v>
      </c>
      <c r="D35" s="25">
        <v>3.8039999999999997E-2</v>
      </c>
      <c r="E35" s="25">
        <v>3.4500000000000003E-2</v>
      </c>
    </row>
    <row r="36" spans="2:6" x14ac:dyDescent="0.2">
      <c r="B36" s="24" t="s">
        <v>110</v>
      </c>
      <c r="C36" s="14">
        <v>37</v>
      </c>
      <c r="D36" s="25">
        <v>3.8879999999999998E-2</v>
      </c>
      <c r="E36" s="25"/>
    </row>
    <row r="37" spans="2:6" x14ac:dyDescent="0.2">
      <c r="B37" s="24" t="s">
        <v>111</v>
      </c>
      <c r="C37" s="14">
        <v>42</v>
      </c>
      <c r="D37" s="25">
        <v>3.9419999999999997E-2</v>
      </c>
      <c r="E37" s="25">
        <v>3.4700000000000002E-2</v>
      </c>
    </row>
    <row r="38" spans="2:6" x14ac:dyDescent="0.2">
      <c r="B38" s="24" t="s">
        <v>112</v>
      </c>
      <c r="C38" s="14">
        <v>46</v>
      </c>
      <c r="D38" s="25">
        <v>3.9949999999999999E-2</v>
      </c>
      <c r="E38" s="25"/>
    </row>
    <row r="39" spans="2:6" x14ac:dyDescent="0.2">
      <c r="B39" s="24" t="s">
        <v>113</v>
      </c>
      <c r="C39" s="14"/>
      <c r="D39" s="25"/>
      <c r="E39" s="25"/>
    </row>
    <row r="40" spans="2:6" x14ac:dyDescent="0.2">
      <c r="B40" s="24" t="s">
        <v>114</v>
      </c>
      <c r="C40" s="14"/>
      <c r="D40" s="25"/>
      <c r="E40" s="25"/>
    </row>
    <row r="41" spans="2:6" x14ac:dyDescent="0.2">
      <c r="B41" s="24" t="s">
        <v>115</v>
      </c>
      <c r="C41" s="14">
        <v>61</v>
      </c>
      <c r="D41" s="25">
        <v>4.1980000000000003E-2</v>
      </c>
      <c r="E41" s="25"/>
    </row>
    <row r="42" spans="2:6" x14ac:dyDescent="0.2">
      <c r="B42" s="24" t="s">
        <v>116</v>
      </c>
      <c r="C42" s="14">
        <v>65</v>
      </c>
      <c r="D42" s="25">
        <v>4.2560000000000001E-2</v>
      </c>
      <c r="E42" s="25">
        <v>3.5099999999999999E-2</v>
      </c>
    </row>
    <row r="43" spans="2:6" x14ac:dyDescent="0.2">
      <c r="B43" s="24" t="s">
        <v>117</v>
      </c>
      <c r="C43" s="14"/>
      <c r="D43" s="25"/>
      <c r="E43" s="25"/>
    </row>
    <row r="44" spans="2:6" x14ac:dyDescent="0.2">
      <c r="B44" s="24" t="s">
        <v>118</v>
      </c>
      <c r="C44" s="14"/>
      <c r="D44" s="25"/>
      <c r="E44" s="25"/>
    </row>
    <row r="45" spans="2:6" x14ac:dyDescent="0.2">
      <c r="B45" s="24" t="s">
        <v>119</v>
      </c>
      <c r="C45" s="14">
        <v>74</v>
      </c>
      <c r="D45" s="25">
        <v>4.3200000000000002E-2</v>
      </c>
      <c r="E45" s="25"/>
    </row>
    <row r="46" spans="2:6" x14ac:dyDescent="0.2">
      <c r="B46" s="24" t="s">
        <v>120</v>
      </c>
      <c r="C46" s="14"/>
      <c r="D46" s="25"/>
      <c r="E46" s="25"/>
    </row>
    <row r="47" spans="2:6" x14ac:dyDescent="0.2">
      <c r="B47" s="24" t="s">
        <v>121</v>
      </c>
      <c r="C47" s="14">
        <v>78</v>
      </c>
      <c r="D47" s="25">
        <v>4.3490000000000001E-2</v>
      </c>
      <c r="E47" s="25">
        <v>3.4700000000000002E-2</v>
      </c>
    </row>
    <row r="48" spans="2:6" x14ac:dyDescent="0.2">
      <c r="B48" s="24" t="s">
        <v>122</v>
      </c>
      <c r="C48" s="14"/>
      <c r="D48" s="25"/>
      <c r="E48" s="25"/>
      <c r="F48" s="6" t="s">
        <v>123</v>
      </c>
    </row>
    <row r="49" spans="2:5" x14ac:dyDescent="0.2">
      <c r="B49" s="24" t="s">
        <v>124</v>
      </c>
      <c r="C49" s="14"/>
      <c r="D49" s="25"/>
      <c r="E49" s="25"/>
    </row>
    <row r="50" spans="2:5" x14ac:dyDescent="0.2">
      <c r="B50" s="24" t="s">
        <v>125</v>
      </c>
      <c r="C50" s="14"/>
      <c r="D50" s="25"/>
      <c r="E50" s="25"/>
    </row>
    <row r="51" spans="2:5" x14ac:dyDescent="0.2">
      <c r="B51" s="24" t="s">
        <v>126</v>
      </c>
      <c r="C51" s="14"/>
      <c r="D51" s="25"/>
      <c r="E51" s="25"/>
    </row>
    <row r="52" spans="2:5" x14ac:dyDescent="0.2">
      <c r="B52" s="24" t="s">
        <v>127</v>
      </c>
      <c r="C52" s="14">
        <v>89</v>
      </c>
      <c r="D52" s="25">
        <v>4.3490000000000001E-2</v>
      </c>
      <c r="E52" s="25"/>
    </row>
    <row r="53" spans="2:5" x14ac:dyDescent="0.2">
      <c r="B53" s="24" t="s">
        <v>128</v>
      </c>
      <c r="C53" s="14"/>
      <c r="D53" s="25"/>
      <c r="E53" s="25"/>
    </row>
    <row r="54" spans="2:5" x14ac:dyDescent="0.2">
      <c r="B54" s="24" t="s">
        <v>129</v>
      </c>
      <c r="C54" s="14"/>
      <c r="D54" s="25"/>
      <c r="E54" s="25"/>
    </row>
    <row r="55" spans="2:5" x14ac:dyDescent="0.2">
      <c r="B55" s="24" t="s">
        <v>130</v>
      </c>
      <c r="C55" s="14">
        <v>92</v>
      </c>
      <c r="D55" s="25">
        <v>4.376E-2</v>
      </c>
      <c r="E55" s="25"/>
    </row>
    <row r="56" spans="2:5" x14ac:dyDescent="0.2">
      <c r="B56" s="24" t="s">
        <v>131</v>
      </c>
      <c r="C56" s="14"/>
      <c r="D56" s="25"/>
      <c r="E56" s="25"/>
    </row>
    <row r="57" spans="2:5" x14ac:dyDescent="0.2">
      <c r="B57" s="24" t="s">
        <v>132</v>
      </c>
      <c r="C57" s="14"/>
      <c r="D57" s="25"/>
      <c r="E57" s="25">
        <v>3.2899999999999999E-2</v>
      </c>
    </row>
  </sheetData>
  <dataValidations count="4">
    <dataValidation type="list" sqref="C4" xr:uid="{00000000-0002-0000-0100-000000000000}">
      <formula1>"USD,EUR"</formula1>
      <formula2>0</formula2>
    </dataValidation>
    <dataValidation type="list" sqref="C14" xr:uid="{00000000-0002-0000-0100-000001000000}">
      <formula1>"EURIBOR6M,ESTR"</formula1>
      <formula2>0</formula2>
    </dataValidation>
    <dataValidation type="custom" showErrorMessage="1" errorTitle="Drawdown period" error="Multiple of 0.5 years, ≥ 0, and x + y ≤ 30." sqref="C6" xr:uid="{00000000-0002-0000-0100-000002000000}">
      <formula1>AND(C6&gt;=0,MOD(C6*2,1)=0,C6+C7&lt;=30)</formula1>
      <formula2>0</formula2>
    </dataValidation>
    <dataValidation type="custom" showErrorMessage="1" errorTitle="Repayment period" error="Multiple of 0.5 years, &gt; 0, and x + y ≤ 30." sqref="C7" xr:uid="{00000000-0002-0000-0100-000003000000}">
      <formula1>AND(C7&gt;0,MOD(C7*2,1)=0,C6+C7&lt;=30)</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B1:H53"/>
  <sheetViews>
    <sheetView showGridLines="0" zoomScaleNormal="100" workbookViewId="0">
      <pane xSplit="2" ySplit="5" topLeftCell="C6" activePane="bottomRight" state="frozen"/>
      <selection pane="topRight" activeCell="C1" sqref="C1"/>
      <selection pane="bottomLeft" activeCell="A6" sqref="A6"/>
      <selection pane="bottomRight" activeCell="F9" sqref="F9"/>
    </sheetView>
  </sheetViews>
  <sheetFormatPr baseColWidth="10" defaultColWidth="8.6640625" defaultRowHeight="15" x14ac:dyDescent="0.2"/>
  <cols>
    <col min="1" max="1" width="2" customWidth="1"/>
    <col min="2" max="2" width="64" customWidth="1"/>
    <col min="3" max="4" width="22" customWidth="1"/>
    <col min="5" max="5" width="5.5" customWidth="1"/>
    <col min="6" max="6" width="75" customWidth="1"/>
  </cols>
  <sheetData>
    <row r="1" spans="2:8" ht="18" x14ac:dyDescent="0.2">
      <c r="B1" s="5" t="s">
        <v>133</v>
      </c>
    </row>
    <row r="2" spans="2:8" x14ac:dyDescent="0.2">
      <c r="B2" s="6" t="str">
        <f>"Currency: "&amp;Inputs!C4&amp;"   |   Amount: "&amp;TEXT(Inputs!C5,"#,##0")&amp;"   |   Drawdown "&amp;TEXT(Inputs!C6,"0.0")&amp;"y + repayment "&amp;TEXT(Inputs!C7,"0.0")&amp;"y   |   Market data as of "&amp;TEXT(Inputs!C10,"dd-mmm-yyyy")</f>
        <v>Currency: EUR   |   Amount: 5000000000,0   |   Drawdown 01y + repayment 23y   |   Market data as of 26-Oct-2026</v>
      </c>
    </row>
    <row r="3" spans="2:8" x14ac:dyDescent="0.2">
      <c r="B3" s="26" t="s">
        <v>134</v>
      </c>
    </row>
    <row r="5" spans="2:8" ht="31.5" customHeight="1" x14ac:dyDescent="0.2">
      <c r="B5" s="22" t="s">
        <v>135</v>
      </c>
      <c r="C5" s="22" t="s">
        <v>136</v>
      </c>
      <c r="D5" s="22" t="s">
        <v>137</v>
      </c>
      <c r="F5" s="23" t="s">
        <v>138</v>
      </c>
    </row>
    <row r="6" spans="2:8" x14ac:dyDescent="0.2">
      <c r="B6" s="7" t="s">
        <v>139</v>
      </c>
      <c r="C6" s="8"/>
      <c r="D6" s="8"/>
      <c r="E6" s="8"/>
      <c r="F6" s="8"/>
    </row>
    <row r="7" spans="2:8" x14ac:dyDescent="0.2">
      <c r="B7" s="9" t="s">
        <v>140</v>
      </c>
      <c r="C7" s="27">
        <f>Calc_Floating!$E$26</f>
        <v>24</v>
      </c>
      <c r="D7" s="27">
        <f>Calc_Fixed!$E$26</f>
        <v>24</v>
      </c>
    </row>
    <row r="8" spans="2:8" x14ac:dyDescent="0.2">
      <c r="B8" s="9" t="s">
        <v>141</v>
      </c>
      <c r="C8" s="28">
        <f>Calc_Floating!$E$4</f>
        <v>12.5</v>
      </c>
      <c r="D8" s="28">
        <f>Calc_Fixed!$E$4</f>
        <v>12.5</v>
      </c>
      <c r="F8" s="11" t="s">
        <v>142</v>
      </c>
    </row>
    <row r="9" spans="2:8" x14ac:dyDescent="0.2">
      <c r="B9" s="9" t="s">
        <v>143</v>
      </c>
      <c r="C9" s="29">
        <f>Calc_Floating!$E$5</f>
        <v>9.0024447909445193</v>
      </c>
      <c r="D9" s="29">
        <f>Calc_Fixed!$E$5</f>
        <v>8.9433309277720152</v>
      </c>
      <c r="F9" s="11" t="s">
        <v>144</v>
      </c>
    </row>
    <row r="10" spans="2:8" x14ac:dyDescent="0.2">
      <c r="B10" s="7" t="s">
        <v>145</v>
      </c>
      <c r="C10" s="8"/>
      <c r="D10" s="8"/>
      <c r="E10" s="8"/>
      <c r="F10" s="8"/>
    </row>
    <row r="11" spans="2:8" x14ac:dyDescent="0.2">
      <c r="B11" s="9" t="s">
        <v>146</v>
      </c>
      <c r="C11" s="30">
        <f>Calc_Floating!$E$6</f>
        <v>53.5</v>
      </c>
      <c r="D11" s="31">
        <f>Calc_Fixed!$E$6</f>
        <v>4.0965000000000001E-2</v>
      </c>
      <c r="F11" s="11" t="s">
        <v>147</v>
      </c>
    </row>
    <row r="12" spans="2:8" x14ac:dyDescent="0.2">
      <c r="B12" s="9" t="s">
        <v>148</v>
      </c>
      <c r="C12" s="31">
        <f>Calc_Floating!$E$9</f>
        <v>5.3499999999999997E-3</v>
      </c>
      <c r="D12" s="31">
        <f>Calc_Fixed!$E$9</f>
        <v>4.0553846385828596E-2</v>
      </c>
      <c r="F12" s="11" t="s">
        <v>149</v>
      </c>
    </row>
    <row r="13" spans="2:8" ht="28" x14ac:dyDescent="0.2">
      <c r="B13" s="9" t="s">
        <v>150</v>
      </c>
      <c r="C13" s="31">
        <f>Calc_Floating!$E$10</f>
        <v>6.2322004491220046E-3</v>
      </c>
      <c r="D13" s="31">
        <f>Calc_Fixed!$E$10</f>
        <v>4.1355390333363502E-2</v>
      </c>
      <c r="F13" s="11" t="s">
        <v>151</v>
      </c>
      <c r="H13" s="43"/>
    </row>
    <row r="14" spans="2:8" x14ac:dyDescent="0.2">
      <c r="B14" s="7" t="s">
        <v>152</v>
      </c>
      <c r="C14" s="8"/>
      <c r="D14" s="8"/>
      <c r="E14" s="8"/>
      <c r="F14" s="8"/>
    </row>
    <row r="15" spans="2:8" x14ac:dyDescent="0.2">
      <c r="B15" s="23" t="s">
        <v>153</v>
      </c>
      <c r="C15" s="32">
        <f>Calc_Floating!$E$11*10000</f>
        <v>8.8220044912200493</v>
      </c>
      <c r="D15" s="32">
        <f>Calc_Fixed!$E$11*10000</f>
        <v>8.0154394753490656</v>
      </c>
      <c r="F15" s="11" t="s">
        <v>154</v>
      </c>
    </row>
    <row r="16" spans="2:8" x14ac:dyDescent="0.2">
      <c r="B16" s="9" t="s">
        <v>155</v>
      </c>
      <c r="C16" s="33">
        <f>IFERROR(Calc_Floating!$E$11/Calc_Floating!$E$10,0)</f>
        <v>0.14155521092815454</v>
      </c>
      <c r="D16" s="33">
        <f>IFERROR(Calc_Fixed!$E$11/Calc_Fixed!$E$10,0)</f>
        <v>1.9381849405209459E-2</v>
      </c>
      <c r="F16" s="11" t="s">
        <v>156</v>
      </c>
    </row>
    <row r="17" spans="2:6" x14ac:dyDescent="0.2">
      <c r="B17" s="9" t="s">
        <v>157</v>
      </c>
      <c r="C17" s="31">
        <f>Calc_Floating!$E$12+Calc_Floating!$E$10</f>
        <v>4.0708471090822783E-2</v>
      </c>
      <c r="D17" s="31">
        <f>Calc_Fixed!$E$10</f>
        <v>4.1355390333363502E-2</v>
      </c>
      <c r="F17" s="11" t="s">
        <v>158</v>
      </c>
    </row>
    <row r="18" spans="2:6" x14ac:dyDescent="0.2">
      <c r="B18" s="9" t="s">
        <v>159</v>
      </c>
      <c r="C18" s="31">
        <f>Calc_Floating!$E$12+Calc_Floating!$E$9</f>
        <v>3.982627064170078E-2</v>
      </c>
      <c r="D18" s="31">
        <f>Calc_Fixed!$E$9</f>
        <v>4.0553846385828596E-2</v>
      </c>
    </row>
    <row r="19" spans="2:6" x14ac:dyDescent="0.2">
      <c r="B19" s="9" t="s">
        <v>160</v>
      </c>
      <c r="C19" s="33">
        <f>IFERROR(Calc_Floating!$E$11/(Calc_Floating!$E$12+Calc_Floating!$E$10),0)</f>
        <v>2.167117618231764E-2</v>
      </c>
      <c r="D19" s="33">
        <f>IFERROR(Calc_Fixed!$E$11/Calc_Fixed!$E$10,0)</f>
        <v>1.9381849405209459E-2</v>
      </c>
    </row>
    <row r="20" spans="2:6" x14ac:dyDescent="0.2">
      <c r="B20" s="23" t="s">
        <v>161</v>
      </c>
      <c r="C20" s="34">
        <f>Calc_Floating!$E$11*Inputs!$C$5*Calc_Floating!$E$4</f>
        <v>55137528.070125297</v>
      </c>
      <c r="D20" s="34">
        <f>Calc_Fixed!$E$11*Inputs!$C$5*Calc_Fixed!$E$4</f>
        <v>50096496.720931657</v>
      </c>
      <c r="E20" s="6" t="str">
        <f>Inputs!$C$4</f>
        <v>EUR</v>
      </c>
      <c r="F20" s="11" t="s">
        <v>162</v>
      </c>
    </row>
    <row r="21" spans="2:6" ht="28" x14ac:dyDescent="0.2">
      <c r="B21" s="23" t="s">
        <v>163</v>
      </c>
      <c r="C21" s="34">
        <f>Calc_Floating!$E$13*Inputs!$C$5</f>
        <v>39709804.188836604</v>
      </c>
      <c r="D21" s="34">
        <f>Calc_Fixed!$E$13*Inputs!$C$5</f>
        <v>35842363.879786275</v>
      </c>
      <c r="E21" s="6" t="str">
        <f>Inputs!$C$4</f>
        <v>EUR</v>
      </c>
      <c r="F21" s="11" t="s">
        <v>164</v>
      </c>
    </row>
    <row r="22" spans="2:6" x14ac:dyDescent="0.2">
      <c r="B22" s="9" t="s">
        <v>165</v>
      </c>
      <c r="C22" s="35">
        <f>IFERROR(Calc_Floating!$E$11*Inputs!$C$5*Calc_Floating!$E$4/Calc_Floating!$E$26,0)</f>
        <v>2297397.0029218872</v>
      </c>
      <c r="D22" s="35">
        <f>IFERROR(Calc_Fixed!$E$11*Inputs!$C$5*Calc_Fixed!$E$4/Calc_Fixed!$E$26,0)</f>
        <v>2087354.0300388189</v>
      </c>
      <c r="E22" s="6" t="str">
        <f>Inputs!$C$4</f>
        <v>EUR</v>
      </c>
    </row>
    <row r="23" spans="2:6" x14ac:dyDescent="0.2">
      <c r="B23" s="7" t="s">
        <v>166</v>
      </c>
      <c r="C23" s="8"/>
      <c r="D23" s="8"/>
      <c r="E23" s="8"/>
      <c r="F23" s="8"/>
    </row>
    <row r="24" spans="2:6" ht="28" x14ac:dyDescent="0.2">
      <c r="B24" s="9" t="s">
        <v>167</v>
      </c>
      <c r="C24" s="35">
        <f>Calc_Floating!$E$15*Inputs!$C$5</f>
        <v>-26278305.929603383</v>
      </c>
      <c r="D24" s="35">
        <f>Calc_Fixed!$E$15*Inputs!$C$5</f>
        <v>-27401521.768605705</v>
      </c>
      <c r="E24" s="6" t="str">
        <f>Inputs!$C$4</f>
        <v>EUR</v>
      </c>
      <c r="F24" s="11" t="s">
        <v>168</v>
      </c>
    </row>
    <row r="25" spans="2:6" ht="28" x14ac:dyDescent="0.2">
      <c r="B25" s="9" t="s">
        <v>169</v>
      </c>
      <c r="C25" s="35">
        <f>Calc_Floating!$E$14*Inputs!$C$5</f>
        <v>65988110.118439987</v>
      </c>
      <c r="D25" s="35">
        <f>Calc_Fixed!$E$14*Inputs!$C$5</f>
        <v>63243885.648391962</v>
      </c>
      <c r="E25" s="6" t="str">
        <f>Inputs!$C$4</f>
        <v>EUR</v>
      </c>
      <c r="F25" s="11" t="s">
        <v>170</v>
      </c>
    </row>
    <row r="26" spans="2:6" x14ac:dyDescent="0.2">
      <c r="B26" s="9" t="s">
        <v>171</v>
      </c>
      <c r="C26" s="35">
        <f>C24+C25</f>
        <v>39709804.188836604</v>
      </c>
      <c r="D26" s="35">
        <f>D24+D25</f>
        <v>35842363.879786253</v>
      </c>
      <c r="E26" s="6" t="str">
        <f>Inputs!$C$4</f>
        <v>EUR</v>
      </c>
      <c r="F26" s="11" t="s">
        <v>172</v>
      </c>
    </row>
    <row r="27" spans="2:6" x14ac:dyDescent="0.2">
      <c r="B27" s="9" t="s">
        <v>173</v>
      </c>
      <c r="C27" s="36">
        <f>Calc_Floating!$E$15/Calc_Floating!$E$5*10000</f>
        <v>-5.8380376752849399</v>
      </c>
      <c r="D27" s="36">
        <f>Calc_Fixed!$E$15/Calc_Fixed!$E$5*10000</f>
        <v>-6.1278112126019781</v>
      </c>
    </row>
    <row r="28" spans="2:6" x14ac:dyDescent="0.2">
      <c r="B28" s="9" t="s">
        <v>174</v>
      </c>
      <c r="C28" s="36">
        <f>Calc_Floating!$E$14/Calc_Floating!$E$5*10000</f>
        <v>14.660042166505002</v>
      </c>
      <c r="D28" s="36">
        <f>Calc_Fixed!$E$14/Calc_Fixed!$E$5*10000</f>
        <v>14.14325068795088</v>
      </c>
    </row>
    <row r="29" spans="2:6" x14ac:dyDescent="0.2">
      <c r="B29" s="9" t="s">
        <v>175</v>
      </c>
      <c r="C29" s="37">
        <f>Calc_Floating!$E$17</f>
        <v>9.5</v>
      </c>
      <c r="D29" s="37">
        <f>Calc_Fixed!$E$17</f>
        <v>9.5</v>
      </c>
    </row>
    <row r="30" spans="2:6" ht="28" x14ac:dyDescent="0.2">
      <c r="B30" s="9" t="s">
        <v>176</v>
      </c>
      <c r="C30" s="37">
        <f>Calc_Floating!$E$16</f>
        <v>3</v>
      </c>
      <c r="D30" s="37">
        <f>Calc_Fixed!$E$16</f>
        <v>3</v>
      </c>
      <c r="F30" s="11" t="s">
        <v>177</v>
      </c>
    </row>
    <row r="31" spans="2:6" x14ac:dyDescent="0.2">
      <c r="B31" s="9" t="s">
        <v>178</v>
      </c>
      <c r="C31" s="31">
        <f>Calc_Floating!$E$20</f>
        <v>4.6612849143958576E-3</v>
      </c>
      <c r="D31" s="31">
        <f>Calc_Fixed!$E$20</f>
        <v>3.9833198047973223E-2</v>
      </c>
    </row>
    <row r="32" spans="2:6" x14ac:dyDescent="0.2">
      <c r="B32" s="9" t="s">
        <v>179</v>
      </c>
      <c r="C32" s="31">
        <f>Calc_Floating!$E$19</f>
        <v>1.4973930364104836E-2</v>
      </c>
      <c r="D32" s="31">
        <f>Calc_Fixed!$E$19</f>
        <v>5.0002787799042082E-2</v>
      </c>
    </row>
    <row r="33" spans="2:6" x14ac:dyDescent="0.2">
      <c r="B33" s="7" t="s">
        <v>180</v>
      </c>
      <c r="C33" s="8"/>
      <c r="D33" s="8"/>
      <c r="E33" s="8"/>
      <c r="F33" s="8"/>
    </row>
    <row r="34" spans="2:6" ht="28" x14ac:dyDescent="0.2">
      <c r="B34" s="9" t="s">
        <v>181</v>
      </c>
      <c r="C34" s="36" t="str">
        <f>"n/a"</f>
        <v>n/a</v>
      </c>
      <c r="D34" s="36">
        <f>(Calc_Fixed!$E$12-Calc_Fixed!$E$25)*10000</f>
        <v>-1.2327166150040425</v>
      </c>
      <c r="F34" s="11" t="s">
        <v>182</v>
      </c>
    </row>
    <row r="35" spans="2:6" x14ac:dyDescent="0.2">
      <c r="B35" s="9" t="s">
        <v>183</v>
      </c>
      <c r="C35" s="36" t="str">
        <f>"n/a"</f>
        <v>n/a</v>
      </c>
      <c r="D35" s="36">
        <f>Calc_Fixed!$E$11*10000-D34</f>
        <v>9.2481560903531079</v>
      </c>
      <c r="F35" s="11" t="s">
        <v>184</v>
      </c>
    </row>
    <row r="36" spans="2:6" x14ac:dyDescent="0.2">
      <c r="B36" s="7" t="s">
        <v>185</v>
      </c>
      <c r="C36" s="8"/>
      <c r="D36" s="8"/>
      <c r="E36" s="8"/>
      <c r="F36" s="8"/>
    </row>
    <row r="37" spans="2:6" x14ac:dyDescent="0.2">
      <c r="B37" s="9" t="s">
        <v>186</v>
      </c>
      <c r="C37" s="36">
        <f>Inputs!$C$22/Calc_Floating!$E$5</f>
        <v>0</v>
      </c>
      <c r="D37" s="36">
        <f>Inputs!$C$22/Calc_Fixed!$E$5</f>
        <v>0</v>
      </c>
    </row>
    <row r="38" spans="2:6" x14ac:dyDescent="0.2">
      <c r="B38" s="9" t="s">
        <v>187</v>
      </c>
      <c r="C38" s="36">
        <f>Inputs!$C$23/Calc_Floating!$E$5</f>
        <v>0</v>
      </c>
      <c r="D38" s="36">
        <f>Inputs!$C$23/Calc_Fixed!$E$5</f>
        <v>0</v>
      </c>
    </row>
    <row r="39" spans="2:6" x14ac:dyDescent="0.2">
      <c r="B39" s="9" t="s">
        <v>188</v>
      </c>
      <c r="C39" s="36">
        <f>Inputs!$C$24</f>
        <v>0</v>
      </c>
      <c r="D39" s="36">
        <f>Inputs!$C$24</f>
        <v>0</v>
      </c>
    </row>
    <row r="40" spans="2:6" x14ac:dyDescent="0.2">
      <c r="B40" s="23" t="s">
        <v>189</v>
      </c>
      <c r="C40" s="32">
        <f>Calc_Floating!$E$11*10000-C37+C38+C39</f>
        <v>8.8220044912200493</v>
      </c>
      <c r="D40" s="32">
        <f>Calc_Fixed!$E$11*10000-D37+D38+D39</f>
        <v>8.0154394753490656</v>
      </c>
    </row>
    <row r="41" spans="2:6" x14ac:dyDescent="0.2">
      <c r="B41" s="9" t="s">
        <v>190</v>
      </c>
      <c r="C41" s="35">
        <f>C40/10000*Inputs!$C$5*Calc_Floating!$E$5</f>
        <v>39709804.188836545</v>
      </c>
      <c r="D41" s="35">
        <f>D40/10000*Inputs!$C$5*Calc_Fixed!$E$5</f>
        <v>35842363.879786998</v>
      </c>
      <c r="E41" s="6" t="str">
        <f>Inputs!$C$4</f>
        <v>EUR</v>
      </c>
    </row>
    <row r="42" spans="2:6" x14ac:dyDescent="0.2">
      <c r="B42" s="7" t="s">
        <v>191</v>
      </c>
      <c r="C42" s="8"/>
      <c r="D42" s="8"/>
      <c r="E42" s="8"/>
      <c r="F42" s="8"/>
    </row>
    <row r="43" spans="2:6" x14ac:dyDescent="0.2">
      <c r="B43" s="9" t="s">
        <v>192</v>
      </c>
      <c r="C43" s="38">
        <f>Calc_Floating!$E$22</f>
        <v>1.5677563414140394E-12</v>
      </c>
      <c r="D43" s="38">
        <f>Calc_Fixed!$E$22</f>
        <v>1.2490009027033011E-12</v>
      </c>
    </row>
    <row r="44" spans="2:6" x14ac:dyDescent="0.2">
      <c r="B44" s="9" t="s">
        <v>193</v>
      </c>
      <c r="C44" s="38">
        <f>(Calc_Floating!$E$13-Calc_Floating!$E$21)*Inputs!$C$5</f>
        <v>-5.8113236445223038E-7</v>
      </c>
      <c r="D44" s="38">
        <f>(Calc_Fixed!$E$13-Calc_Fixed!$E$21)*Inputs!$C$5</f>
        <v>-2.0686577451023425E-6</v>
      </c>
    </row>
    <row r="45" spans="2:6" x14ac:dyDescent="0.2">
      <c r="B45" s="9" t="s">
        <v>194</v>
      </c>
      <c r="C45" s="38">
        <f>Calc_Floating!$E$4-Calc_Floating!$E$24</f>
        <v>0</v>
      </c>
      <c r="D45" s="38">
        <f>Calc_Fixed!$E$4-Calc_Fixed!$E$24</f>
        <v>0</v>
      </c>
    </row>
    <row r="46" spans="2:6" x14ac:dyDescent="0.2">
      <c r="B46" s="9" t="s">
        <v>195</v>
      </c>
      <c r="C46" s="39" t="str">
        <f>IF(AND(C43&lt;0.0001,ABS(C44)&lt;1,ABS(C45)&lt;0.000001),"OK","CHECK")</f>
        <v>OK</v>
      </c>
      <c r="D46" s="39" t="str">
        <f>IF(AND(D43&lt;0.0001,ABS(D44)&lt;1,ABS(D45)&lt;0.000001),"OK","CHECK")</f>
        <v>OK</v>
      </c>
    </row>
    <row r="47" spans="2:6" x14ac:dyDescent="0.2">
      <c r="B47" s="7" t="s">
        <v>196</v>
      </c>
      <c r="C47" s="8"/>
      <c r="D47" s="8"/>
      <c r="E47" s="8"/>
      <c r="F47" s="8"/>
    </row>
    <row r="48" spans="2:6" ht="28" x14ac:dyDescent="0.2">
      <c r="B48" s="9" t="s">
        <v>197</v>
      </c>
      <c r="C48" s="39" t="str">
        <f>IF(Calc_Floating!$E$26&gt;Curves!E37,"YES — last forward hazard extended "&amp;TEXT(Calc_Floating!$E$26-Curves!E37,"0.0")&amp;"y","no")</f>
        <v>no</v>
      </c>
      <c r="D48" s="39" t="str">
        <f>IF(Calc_Fixed!$E$26&gt;Curves!E38,"YES — last forward hazard extended "&amp;TEXT(Calc_Fixed!$E$26-Curves!E38,"0.0")&amp;"y","no")</f>
        <v>no</v>
      </c>
      <c r="F48" s="11" t="s">
        <v>198</v>
      </c>
    </row>
    <row r="49" spans="2:4" x14ac:dyDescent="0.2">
      <c r="B49" s="9" t="s">
        <v>199</v>
      </c>
      <c r="C49" s="39" t="str">
        <f>IF(Calc_Floating!$E$4&gt;Curves!E37,"YES","no")</f>
        <v>no</v>
      </c>
      <c r="D49" s="39" t="str">
        <f>IF(Calc_Fixed!$E$4&gt;Curves!E38,"YES","no")</f>
        <v>no</v>
      </c>
    </row>
    <row r="50" spans="2:4" x14ac:dyDescent="0.2">
      <c r="B50" s="9" t="s">
        <v>200</v>
      </c>
      <c r="C50" s="39" t="str">
        <f>IF(Calc_Floating!$E$26&gt;Curves!E39,"YES — swap rate held flat","no")</f>
        <v>no</v>
      </c>
      <c r="D50" s="39" t="str">
        <f>IF(Calc_Fixed!$E$26&gt;Curves!E39,"YES — swap rate held flat","no")</f>
        <v>no</v>
      </c>
    </row>
    <row r="51" spans="2:4" x14ac:dyDescent="0.2">
      <c r="B51" s="9" t="s">
        <v>201</v>
      </c>
      <c r="C51" s="39" t="str">
        <f>IF(Curves!E43=1,"YES","no")</f>
        <v>no</v>
      </c>
      <c r="D51" s="39" t="str">
        <f>IF(Curves!E44=1,"YES","no")</f>
        <v>no</v>
      </c>
    </row>
    <row r="52" spans="2:4" x14ac:dyDescent="0.2">
      <c r="B52" s="56" t="s">
        <v>202</v>
      </c>
      <c r="C52" s="39" t="str">
        <f>IF(Calc_Floating!$E$23&lt;0,"YES — check data","no")</f>
        <v>YES — check data</v>
      </c>
      <c r="D52" s="39" t="str">
        <f>IF(Calc_Fixed!$E$23&lt;0,"YES — check data","no")</f>
        <v>YES — check data</v>
      </c>
    </row>
    <row r="53" spans="2:4" x14ac:dyDescent="0.2">
      <c r="B53" s="9" t="s">
        <v>203</v>
      </c>
      <c r="C53" s="39" t="str">
        <f>IF(AND(Inputs!C6&gt;=0,MOD(Inputs!C6*2,1)=0,Inputs!C7&gt;0,MOD(Inputs!C7*2,1)=0,Inputs!C6+Inputs!C7&lt;=30,Curves!E40&gt;0,Curves!E42&gt;0),"OK","INVALID INPUTS")</f>
        <v>OK</v>
      </c>
      <c r="D53" s="39" t="str">
        <f>IF(AND(Inputs!C6&gt;=0,MOD(Inputs!C6*2,1)=0,Inputs!C7&gt;0,MOD(Inputs!C7*2,1)=0,Inputs!C6+Inputs!C7&lt;=30,Curves!E41&gt;0,Curves!E42&gt;0),"OK","INVALID INPUTS")</f>
        <v>OK</v>
      </c>
    </row>
  </sheetData>
  <conditionalFormatting sqref="C6:D54">
    <cfRule type="expression" dxfId="6" priority="18">
      <formula>OR(LEFT(C6,3)="YES",C6="CHECK",C6="INVALID INPUTS")</formula>
    </cfRule>
  </conditionalFormatting>
  <conditionalFormatting sqref="C15:D15">
    <cfRule type="cellIs" dxfId="5" priority="3" operator="lessThan">
      <formula>-0.0000001</formula>
    </cfRule>
    <cfRule type="cellIs" dxfId="4" priority="2" operator="greaterThan">
      <formula>0.0000001</formula>
    </cfRule>
  </conditionalFormatting>
  <conditionalFormatting sqref="C20:D21">
    <cfRule type="cellIs" dxfId="3" priority="6" operator="greaterThan">
      <formula>0.0000001</formula>
    </cfRule>
    <cfRule type="cellIs" dxfId="2" priority="7" operator="lessThan">
      <formula>-0.0000001</formula>
    </cfRule>
  </conditionalFormatting>
  <conditionalFormatting sqref="C40:D40">
    <cfRule type="cellIs" dxfId="1" priority="15" operator="lessThan">
      <formula>-0.0000001</formula>
    </cfRule>
    <cfRule type="cellIs" dxfId="0" priority="14" operator="greaterThan">
      <formula>0.0000001</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19"/>
  <sheetViews>
    <sheetView showGridLines="0" zoomScaleNormal="100" workbookViewId="0"/>
  </sheetViews>
  <sheetFormatPr baseColWidth="10" defaultColWidth="8.6640625" defaultRowHeight="15" x14ac:dyDescent="0.2"/>
  <cols>
    <col min="1" max="1" width="2" customWidth="1"/>
    <col min="2" max="2" width="135" customWidth="1"/>
  </cols>
  <sheetData>
    <row r="1" spans="2:2" ht="15" customHeight="1" x14ac:dyDescent="0.2">
      <c r="B1" s="1" t="s">
        <v>204</v>
      </c>
    </row>
    <row r="2" spans="2:2" ht="42" customHeight="1" x14ac:dyDescent="0.2">
      <c r="B2" s="3" t="s">
        <v>205</v>
      </c>
    </row>
    <row r="3" spans="2:2" ht="15" customHeight="1" x14ac:dyDescent="0.2">
      <c r="B3" s="2" t="s">
        <v>206</v>
      </c>
    </row>
    <row r="4" spans="2:2" ht="97.5" customHeight="1" x14ac:dyDescent="0.2">
      <c r="B4" s="4" t="s">
        <v>207</v>
      </c>
    </row>
    <row r="5" spans="2:2" ht="15" customHeight="1" x14ac:dyDescent="0.2">
      <c r="B5" s="2" t="s">
        <v>208</v>
      </c>
    </row>
    <row r="6" spans="2:2" ht="84" customHeight="1" x14ac:dyDescent="0.2">
      <c r="B6" s="3" t="s">
        <v>209</v>
      </c>
    </row>
    <row r="7" spans="2:2" ht="84" customHeight="1" x14ac:dyDescent="0.2">
      <c r="B7" s="3" t="s">
        <v>210</v>
      </c>
    </row>
    <row r="8" spans="2:2" ht="15" customHeight="1" x14ac:dyDescent="0.2">
      <c r="B8" s="3" t="s">
        <v>211</v>
      </c>
    </row>
    <row r="9" spans="2:2" ht="15" customHeight="1" x14ac:dyDescent="0.2">
      <c r="B9" s="2" t="s">
        <v>212</v>
      </c>
    </row>
    <row r="10" spans="2:2" ht="27.75" customHeight="1" x14ac:dyDescent="0.2">
      <c r="B10" s="3" t="s">
        <v>213</v>
      </c>
    </row>
    <row r="11" spans="2:2" ht="97.5" customHeight="1" x14ac:dyDescent="0.2">
      <c r="B11" s="3" t="s">
        <v>214</v>
      </c>
    </row>
    <row r="12" spans="2:2" ht="69.75" customHeight="1" x14ac:dyDescent="0.2">
      <c r="B12" s="3" t="s">
        <v>215</v>
      </c>
    </row>
    <row r="13" spans="2:2" ht="15" customHeight="1" x14ac:dyDescent="0.2">
      <c r="B13" s="2" t="s">
        <v>216</v>
      </c>
    </row>
    <row r="14" spans="2:2" ht="181.5" customHeight="1" x14ac:dyDescent="0.2">
      <c r="B14" s="3" t="s">
        <v>217</v>
      </c>
    </row>
    <row r="15" spans="2:2" ht="42" customHeight="1" x14ac:dyDescent="0.2">
      <c r="B15" s="3" t="s">
        <v>218</v>
      </c>
    </row>
    <row r="16" spans="2:2" ht="15" customHeight="1" x14ac:dyDescent="0.2">
      <c r="B16" s="2" t="s">
        <v>219</v>
      </c>
    </row>
    <row r="17" spans="2:2" ht="42" customHeight="1" x14ac:dyDescent="0.2">
      <c r="B17" s="3" t="s">
        <v>220</v>
      </c>
    </row>
    <row r="18" spans="2:2" ht="15" customHeight="1" x14ac:dyDescent="0.2">
      <c r="B18" s="2" t="s">
        <v>221</v>
      </c>
    </row>
    <row r="19" spans="2:2" ht="42" customHeight="1" x14ac:dyDescent="0.2">
      <c r="B19" s="3" t="s">
        <v>222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5"/>
  <sheetViews>
    <sheetView zoomScaleNormal="100" workbookViewId="0">
      <pane xSplit="1" ySplit="4" topLeftCell="B5" activePane="bottomRight" state="frozen"/>
      <selection pane="topRight" activeCell="B1" sqref="B1"/>
      <selection pane="bottomLeft" activeCell="A5" sqref="A5"/>
      <selection pane="bottomRight" activeCell="F26" sqref="F26"/>
    </sheetView>
  </sheetViews>
  <sheetFormatPr baseColWidth="10" defaultColWidth="8.6640625" defaultRowHeight="15" x14ac:dyDescent="0.2"/>
  <cols>
    <col min="1" max="1" width="8" customWidth="1"/>
    <col min="2" max="2" width="10" customWidth="1"/>
    <col min="3" max="4" width="7" customWidth="1"/>
    <col min="5" max="5" width="11" customWidth="1"/>
    <col min="6" max="6" width="16" customWidth="1"/>
    <col min="7" max="7" width="10" customWidth="1"/>
    <col min="8" max="9" width="7" customWidth="1"/>
    <col min="10" max="11" width="13" customWidth="1"/>
    <col min="12" max="12" width="16" customWidth="1"/>
    <col min="13" max="13" width="10" customWidth="1"/>
    <col min="14" max="15" width="7" customWidth="1"/>
    <col min="16" max="16" width="11" customWidth="1"/>
    <col min="17" max="18" width="13" customWidth="1"/>
    <col min="19" max="19" width="16" customWidth="1"/>
    <col min="21" max="21" width="6" customWidth="1"/>
    <col min="22" max="22" width="8" customWidth="1"/>
    <col min="23" max="23" width="13" customWidth="1"/>
    <col min="24" max="24" width="14" customWidth="1"/>
    <col min="25" max="25" width="12" customWidth="1"/>
    <col min="26" max="26" width="16" customWidth="1"/>
  </cols>
  <sheetData>
    <row r="1" spans="1:26" ht="18" x14ac:dyDescent="0.2">
      <c r="A1" s="5" t="s">
        <v>223</v>
      </c>
    </row>
    <row r="2" spans="1:26" x14ac:dyDescent="0.2">
      <c r="A2" s="6" t="s">
        <v>224</v>
      </c>
    </row>
    <row r="4" spans="1:26" ht="45" customHeight="1" x14ac:dyDescent="0.2">
      <c r="A4" s="22" t="s">
        <v>225</v>
      </c>
      <c r="B4" s="22" t="s">
        <v>226</v>
      </c>
      <c r="C4" s="22" t="s">
        <v>227</v>
      </c>
      <c r="D4" s="22" t="s">
        <v>228</v>
      </c>
      <c r="E4" s="22" t="s">
        <v>229</v>
      </c>
      <c r="F4" s="22" t="s">
        <v>230</v>
      </c>
      <c r="G4" s="22" t="s">
        <v>231</v>
      </c>
      <c r="H4" s="22" t="s">
        <v>227</v>
      </c>
      <c r="I4" s="22" t="s">
        <v>228</v>
      </c>
      <c r="J4" s="22" t="s">
        <v>232</v>
      </c>
      <c r="K4" s="22" t="s">
        <v>233</v>
      </c>
      <c r="L4" s="22" t="s">
        <v>234</v>
      </c>
      <c r="M4" s="22" t="s">
        <v>235</v>
      </c>
      <c r="N4" s="22" t="s">
        <v>227</v>
      </c>
      <c r="O4" s="22" t="s">
        <v>228</v>
      </c>
      <c r="P4" s="22" t="s">
        <v>236</v>
      </c>
      <c r="Q4" s="22" t="s">
        <v>237</v>
      </c>
      <c r="R4" s="22" t="s">
        <v>238</v>
      </c>
      <c r="S4" s="22" t="s">
        <v>239</v>
      </c>
      <c r="U4" s="22" t="s">
        <v>240</v>
      </c>
      <c r="V4" s="22" t="s">
        <v>241</v>
      </c>
      <c r="W4" s="22" t="s">
        <v>242</v>
      </c>
      <c r="X4" s="22" t="s">
        <v>243</v>
      </c>
      <c r="Y4" s="22" t="s">
        <v>244</v>
      </c>
      <c r="Z4" s="22" t="s">
        <v>245</v>
      </c>
    </row>
    <row r="5" spans="1:26" x14ac:dyDescent="0.2">
      <c r="A5">
        <v>1</v>
      </c>
      <c r="B5" s="40">
        <f>IF(Inputs!C28="","",Inputs!C28)</f>
        <v>-19</v>
      </c>
      <c r="C5">
        <f>IF(B5&lt;&gt;"",A5,0)</f>
        <v>1</v>
      </c>
      <c r="D5">
        <f t="shared" ref="D5:D33" si="0">IF(B5&lt;&gt;"",A5,D6)</f>
        <v>1</v>
      </c>
      <c r="E5" s="41">
        <f t="shared" ref="E5:E34" si="1">IF(B5&lt;&gt;"",B5,IF(AND(C5&gt;0,D5&gt;0),INDEX($B$5:$B$34,C5)+(INDEX($B$5:$B$34,D5)-INDEX($B$5:$B$34,C5))*(A5-C5)/(D5-C5),IF(C5&gt;0,INDEX($B$5:$B$34,C5),IF(D5&gt;0,INDEX($B$5:$B$34,D5),NA()))))</f>
        <v>-19</v>
      </c>
      <c r="F5" t="str">
        <f t="shared" ref="F5:F34" si="2">IF(B5&lt;&gt;"","quoted",IF(AND(C5&gt;0,D5&gt;0),"interpolated","flat extrapolation"))</f>
        <v>quoted</v>
      </c>
      <c r="G5" s="42">
        <f>IF(Inputs!D28="","",Inputs!D28)</f>
        <v>3.032E-2</v>
      </c>
      <c r="H5">
        <f>IF(G5&lt;&gt;"",A5,0)</f>
        <v>1</v>
      </c>
      <c r="I5">
        <f t="shared" ref="I5:I33" si="3">IF(G5&lt;&gt;"",A5,I6)</f>
        <v>1</v>
      </c>
      <c r="J5" s="43">
        <f t="shared" ref="J5:J34" si="4">IF(G5&lt;&gt;"",G5,IF(AND(H5&gt;0,I5&gt;0),INDEX($G$5:$G$34,H5)+(INDEX($G$5:$G$34,I5)-INDEX($G$5:$G$34,H5))*(A5-H5)/(I5-H5),IF(H5&gt;0,INDEX($G$5:$G$34,H5),IF(I5&gt;0,INDEX($G$5:$G$34,I5),NA()))))</f>
        <v>3.032E-2</v>
      </c>
      <c r="K5" s="43">
        <f>2*((1+J5/Inputs!$C$18)^(Inputs!$C$18/2)-1)</f>
        <v>3.0093593901522553E-2</v>
      </c>
      <c r="L5" t="str">
        <f t="shared" ref="L5:L34" si="5">IF(G5&lt;&gt;"","quoted",IF(AND(H5&gt;0,I5&gt;0),"interpolated","flat extrapolation"))</f>
        <v>quoted</v>
      </c>
      <c r="M5" s="42">
        <f>IF(Inputs!E28="","",Inputs!E28)</f>
        <v>3.27E-2</v>
      </c>
      <c r="N5">
        <f>IF(M5&lt;&gt;"",A5,0)</f>
        <v>1</v>
      </c>
      <c r="O5">
        <f t="shared" ref="O5:O33" si="6">IF(M5&lt;&gt;"",A5,O6)</f>
        <v>1</v>
      </c>
      <c r="P5" s="43">
        <f t="shared" ref="P5:P34" si="7">IF(M5&lt;&gt;"",M5,IF(AND(N5&gt;0,O5&gt;0),INDEX($M$5:$M$34,N5)+(INDEX($M$5:$M$34,O5)-INDEX($M$5:$M$34,N5))*(A5-N5)/(O5-N5),IF(N5&gt;0,INDEX($M$5:$M$34,N5),IF(O5&gt;0,INDEX($M$5:$M$34,O5),NA()))))</f>
        <v>3.27E-2</v>
      </c>
      <c r="Q5" s="44">
        <f>1/(1+P5*Inputs!$C$16)</f>
        <v>0.9683354313934347</v>
      </c>
      <c r="R5" s="45">
        <f>Q5</f>
        <v>0.9683354313934347</v>
      </c>
      <c r="S5" t="str">
        <f t="shared" ref="S5:S34" si="8">IF(M5&lt;&gt;"","quoted",IF(AND(N5&gt;0,O5&gt;0),"interpolated","flat extrapolation"))</f>
        <v>quoted</v>
      </c>
      <c r="U5">
        <v>0</v>
      </c>
      <c r="V5">
        <f t="shared" ref="V5:V36" si="9">U5/2</f>
        <v>0</v>
      </c>
      <c r="W5" s="44">
        <v>1</v>
      </c>
      <c r="X5" s="44"/>
      <c r="Y5" s="45">
        <v>0</v>
      </c>
      <c r="Z5" s="43"/>
    </row>
    <row r="6" spans="1:26" x14ac:dyDescent="0.2">
      <c r="A6">
        <v>2</v>
      </c>
      <c r="B6" s="40">
        <f>IF(Inputs!C29="","",Inputs!C29)</f>
        <v>-15</v>
      </c>
      <c r="C6">
        <f t="shared" ref="C6:C34" si="10">IF(B6&lt;&gt;"",A6,C5)</f>
        <v>2</v>
      </c>
      <c r="D6">
        <f t="shared" si="0"/>
        <v>2</v>
      </c>
      <c r="E6" s="41">
        <f t="shared" si="1"/>
        <v>-15</v>
      </c>
      <c r="F6" t="str">
        <f t="shared" si="2"/>
        <v>quoted</v>
      </c>
      <c r="G6" s="42">
        <f>IF(Inputs!D29="","",Inputs!D29)</f>
        <v>3.2419999999999997E-2</v>
      </c>
      <c r="H6">
        <f t="shared" ref="H6:H34" si="11">IF(G6&lt;&gt;"",A6,H5)</f>
        <v>2</v>
      </c>
      <c r="I6">
        <f t="shared" si="3"/>
        <v>2</v>
      </c>
      <c r="J6" s="43">
        <f t="shared" si="4"/>
        <v>3.2419999999999997E-2</v>
      </c>
      <c r="K6" s="43">
        <f>2*((1+J6/Inputs!$C$18)^(Inputs!$C$18/2)-1)</f>
        <v>3.2161410912036725E-2</v>
      </c>
      <c r="L6" t="str">
        <f t="shared" si="5"/>
        <v>quoted</v>
      </c>
      <c r="M6" s="42">
        <f>IF(Inputs!E29="","",Inputs!E29)</f>
        <v>3.4200000000000001E-2</v>
      </c>
      <c r="N6">
        <f t="shared" ref="N6:N34" si="12">IF(M6&lt;&gt;"",A6,N5)</f>
        <v>2</v>
      </c>
      <c r="O6">
        <f t="shared" si="6"/>
        <v>2</v>
      </c>
      <c r="P6" s="43">
        <f t="shared" si="7"/>
        <v>3.4200000000000001E-2</v>
      </c>
      <c r="Q6" s="44">
        <f>(1-P6*Inputs!$C$16*R5)/(1+P6*Inputs!$C$16)</f>
        <v>0.93490903910882273</v>
      </c>
      <c r="R6" s="45">
        <f t="shared" ref="R6:R34" si="13">R5+Q6</f>
        <v>1.9032444705022575</v>
      </c>
      <c r="S6" t="str">
        <f t="shared" si="8"/>
        <v>quoted</v>
      </c>
      <c r="U6">
        <v>1</v>
      </c>
      <c r="V6">
        <f t="shared" si="9"/>
        <v>0.5</v>
      </c>
      <c r="W6" s="44">
        <f>IF(Inputs!$C$19&lt;&gt;"",1/(1+Inputs!$C$19*182.5/360),SQRT(1*INDEX($Q$5:$Q$34,1)))</f>
        <v>0.98492604881115664</v>
      </c>
      <c r="X6" s="44">
        <f t="shared" ref="X6:X37" si="14">W5/W6-1</f>
        <v>1.5304652777777816E-2</v>
      </c>
      <c r="Y6" s="45">
        <f t="shared" ref="Y6:Y37" si="15">Y5+W6</f>
        <v>0.98492604881115664</v>
      </c>
      <c r="Z6" s="43">
        <f t="shared" ref="Z6:Z37" si="16">(1-W6)/(0.5*Y6)</f>
        <v>3.0609305555555556E-2</v>
      </c>
    </row>
    <row r="7" spans="1:26" x14ac:dyDescent="0.2">
      <c r="A7">
        <v>3</v>
      </c>
      <c r="B7" s="40">
        <f>IF(Inputs!C30="","",Inputs!C30)</f>
        <v>-14</v>
      </c>
      <c r="C7">
        <f t="shared" si="10"/>
        <v>3</v>
      </c>
      <c r="D7">
        <f t="shared" si="0"/>
        <v>3</v>
      </c>
      <c r="E7" s="41">
        <f t="shared" si="1"/>
        <v>-14</v>
      </c>
      <c r="F7" t="str">
        <f t="shared" si="2"/>
        <v>quoted</v>
      </c>
      <c r="G7" s="42">
        <f>IF(Inputs!D30="","",Inputs!D30)</f>
        <v>3.3489999999999999E-2</v>
      </c>
      <c r="H7">
        <f t="shared" si="11"/>
        <v>3</v>
      </c>
      <c r="I7">
        <f t="shared" si="3"/>
        <v>3</v>
      </c>
      <c r="J7" s="43">
        <f t="shared" si="4"/>
        <v>3.3489999999999999E-2</v>
      </c>
      <c r="K7" s="43">
        <f>2*((1+J7/Inputs!$C$18)^(Inputs!$C$18/2)-1)</f>
        <v>3.3214204160496141E-2</v>
      </c>
      <c r="L7" t="str">
        <f t="shared" si="5"/>
        <v>quoted</v>
      </c>
      <c r="M7" s="42">
        <f>IF(Inputs!E30="","",Inputs!E30)</f>
        <v>3.4500000000000003E-2</v>
      </c>
      <c r="N7">
        <f t="shared" si="12"/>
        <v>3</v>
      </c>
      <c r="O7">
        <f t="shared" si="6"/>
        <v>3</v>
      </c>
      <c r="P7" s="43">
        <f t="shared" si="7"/>
        <v>3.4500000000000003E-2</v>
      </c>
      <c r="Q7" s="44">
        <f>(1-P7*Inputs!$C$16*R6)/(1+P7*Inputs!$C$16)</f>
        <v>0.90317841060190629</v>
      </c>
      <c r="R7" s="45">
        <f t="shared" si="13"/>
        <v>2.8064228811041638</v>
      </c>
      <c r="S7" t="str">
        <f t="shared" si="8"/>
        <v>quoted</v>
      </c>
      <c r="U7">
        <v>2</v>
      </c>
      <c r="V7">
        <f t="shared" si="9"/>
        <v>1</v>
      </c>
      <c r="W7" s="44">
        <f>INDEX($Q$5:$Q$34,1)</f>
        <v>0.9683354313934347</v>
      </c>
      <c r="X7" s="44">
        <f t="shared" si="14"/>
        <v>1.7133130607281499E-2</v>
      </c>
      <c r="Y7" s="45">
        <f t="shared" si="15"/>
        <v>1.9532614802045913</v>
      </c>
      <c r="Z7" s="43">
        <f t="shared" si="16"/>
        <v>3.2422252655336901E-2</v>
      </c>
    </row>
    <row r="8" spans="1:26" x14ac:dyDescent="0.2">
      <c r="A8">
        <v>4</v>
      </c>
      <c r="B8" s="46">
        <f>IF(Inputs!C31="","",Inputs!C31)</f>
        <v>-2</v>
      </c>
      <c r="C8">
        <f t="shared" si="10"/>
        <v>4</v>
      </c>
      <c r="D8">
        <f t="shared" si="0"/>
        <v>4</v>
      </c>
      <c r="E8" s="41">
        <f t="shared" si="1"/>
        <v>-2</v>
      </c>
      <c r="F8" t="str">
        <f t="shared" si="2"/>
        <v>quoted</v>
      </c>
      <c r="G8" s="42">
        <f>IF(Inputs!D31="","",Inputs!D31)</f>
        <v>3.431E-2</v>
      </c>
      <c r="H8">
        <f t="shared" si="11"/>
        <v>4</v>
      </c>
      <c r="I8">
        <f t="shared" si="3"/>
        <v>4</v>
      </c>
      <c r="J8" s="43">
        <f t="shared" si="4"/>
        <v>3.431E-2</v>
      </c>
      <c r="K8" s="43">
        <f>2*((1+J8/Inputs!$C$18)^(Inputs!$C$18/2)-1)</f>
        <v>3.4020648862739478E-2</v>
      </c>
      <c r="L8" t="str">
        <f t="shared" si="5"/>
        <v>quoted</v>
      </c>
      <c r="M8" s="42">
        <f>IF(Inputs!E31="","",Inputs!E31)</f>
        <v>3.44E-2</v>
      </c>
      <c r="N8">
        <f t="shared" si="12"/>
        <v>4</v>
      </c>
      <c r="O8">
        <f t="shared" si="6"/>
        <v>4</v>
      </c>
      <c r="P8" s="43">
        <f t="shared" si="7"/>
        <v>3.44E-2</v>
      </c>
      <c r="Q8" s="44">
        <f>(1-P8*Inputs!$C$16*R7)/(1+P8*Inputs!$C$16)</f>
        <v>0.87341362421695368</v>
      </c>
      <c r="R8" s="45">
        <f t="shared" si="13"/>
        <v>3.6798365053211173</v>
      </c>
      <c r="S8" t="str">
        <f t="shared" si="8"/>
        <v>quoted</v>
      </c>
      <c r="U8">
        <v>3</v>
      </c>
      <c r="V8">
        <f t="shared" si="9"/>
        <v>1.5</v>
      </c>
      <c r="W8" s="44">
        <f>SQRT(INDEX($Q$5:$Q$34,1)*INDEX($Q$5:$Q$34,2))</f>
        <v>0.95147545827470681</v>
      </c>
      <c r="X8" s="44">
        <f t="shared" si="14"/>
        <v>1.7719819226130973E-2</v>
      </c>
      <c r="Y8" s="45">
        <f t="shared" si="15"/>
        <v>2.904736938479298</v>
      </c>
      <c r="Z8" s="43">
        <f t="shared" si="16"/>
        <v>3.3410627366963562E-2</v>
      </c>
    </row>
    <row r="9" spans="1:26" x14ac:dyDescent="0.2">
      <c r="A9">
        <v>5</v>
      </c>
      <c r="B9" s="40">
        <f>IF(Inputs!C32="","",Inputs!C32)</f>
        <v>6</v>
      </c>
      <c r="C9">
        <f t="shared" si="10"/>
        <v>5</v>
      </c>
      <c r="D9">
        <f t="shared" si="0"/>
        <v>5</v>
      </c>
      <c r="E9" s="41">
        <f t="shared" si="1"/>
        <v>6</v>
      </c>
      <c r="F9" t="str">
        <f t="shared" si="2"/>
        <v>quoted</v>
      </c>
      <c r="G9" s="42">
        <f>IF(Inputs!D32="","",Inputs!D32)</f>
        <v>3.5220000000000001E-2</v>
      </c>
      <c r="H9">
        <f t="shared" si="11"/>
        <v>5</v>
      </c>
      <c r="I9">
        <f t="shared" si="3"/>
        <v>5</v>
      </c>
      <c r="J9" s="43">
        <f t="shared" si="4"/>
        <v>3.5220000000000001E-2</v>
      </c>
      <c r="K9" s="43">
        <f>2*((1+J9/Inputs!$C$18)^(Inputs!$C$18/2)-1)</f>
        <v>3.4915231649711664E-2</v>
      </c>
      <c r="L9" t="str">
        <f t="shared" si="5"/>
        <v>quoted</v>
      </c>
      <c r="M9" s="42">
        <f>IF(Inputs!E32="","",Inputs!E32)</f>
        <v>3.44E-2</v>
      </c>
      <c r="N9">
        <f t="shared" si="12"/>
        <v>5</v>
      </c>
      <c r="O9">
        <f t="shared" si="6"/>
        <v>5</v>
      </c>
      <c r="P9" s="43">
        <f t="shared" si="7"/>
        <v>3.44E-2</v>
      </c>
      <c r="Q9" s="44">
        <f>(1-P9*Inputs!$C$16*R8)/(1+P9*Inputs!$C$16)</f>
        <v>0.8443673861339458</v>
      </c>
      <c r="R9" s="45">
        <f t="shared" si="13"/>
        <v>4.5242038914550626</v>
      </c>
      <c r="S9" t="str">
        <f t="shared" si="8"/>
        <v>quoted</v>
      </c>
      <c r="U9">
        <v>4</v>
      </c>
      <c r="V9">
        <f t="shared" si="9"/>
        <v>2</v>
      </c>
      <c r="W9" s="44">
        <f>INDEX($Q$5:$Q$34,2)</f>
        <v>0.93490903910882273</v>
      </c>
      <c r="X9" s="44">
        <f t="shared" si="14"/>
        <v>1.7719819226130973E-2</v>
      </c>
      <c r="Y9" s="45">
        <f t="shared" si="15"/>
        <v>3.8396459775881207</v>
      </c>
      <c r="Z9" s="43">
        <f t="shared" si="16"/>
        <v>3.3904667915277055E-2</v>
      </c>
    </row>
    <row r="10" spans="1:26" x14ac:dyDescent="0.2">
      <c r="A10">
        <v>6</v>
      </c>
      <c r="B10" s="46">
        <f>IF(Inputs!C33="","",Inputs!C33)</f>
        <v>13</v>
      </c>
      <c r="C10">
        <f t="shared" si="10"/>
        <v>6</v>
      </c>
      <c r="D10">
        <f t="shared" si="0"/>
        <v>6</v>
      </c>
      <c r="E10" s="41">
        <f t="shared" si="1"/>
        <v>13</v>
      </c>
      <c r="F10" t="str">
        <f t="shared" si="2"/>
        <v>quoted</v>
      </c>
      <c r="G10" s="42">
        <f>IF(Inputs!D33="","",Inputs!D33)</f>
        <v>3.5970000000000002E-2</v>
      </c>
      <c r="H10">
        <f t="shared" si="11"/>
        <v>6</v>
      </c>
      <c r="I10">
        <f t="shared" si="3"/>
        <v>6</v>
      </c>
      <c r="J10" s="43">
        <f t="shared" si="4"/>
        <v>3.5970000000000002E-2</v>
      </c>
      <c r="K10" s="43">
        <f>2*((1+J10/Inputs!$C$18)^(Inputs!$C$18/2)-1)</f>
        <v>3.5652229630592114E-2</v>
      </c>
      <c r="L10" t="str">
        <f t="shared" si="5"/>
        <v>quoted</v>
      </c>
      <c r="M10" s="42">
        <f>IF(Inputs!E33="","",Inputs!E33)</f>
        <v>3.44E-2</v>
      </c>
      <c r="N10">
        <f t="shared" si="12"/>
        <v>6</v>
      </c>
      <c r="O10">
        <f t="shared" si="6"/>
        <v>6</v>
      </c>
      <c r="P10" s="43">
        <f t="shared" si="7"/>
        <v>3.44E-2</v>
      </c>
      <c r="Q10" s="44">
        <f>(1-P10*Inputs!$C$16*R9)/(1+P10*Inputs!$C$16)</f>
        <v>0.81628710956491279</v>
      </c>
      <c r="R10" s="45">
        <f t="shared" si="13"/>
        <v>5.3404910010199753</v>
      </c>
      <c r="S10" t="str">
        <f t="shared" si="8"/>
        <v>quoted</v>
      </c>
      <c r="U10">
        <v>5</v>
      </c>
      <c r="V10">
        <f t="shared" si="9"/>
        <v>2.5</v>
      </c>
      <c r="W10" s="44">
        <f>SQRT(INDEX($Q$5:$Q$34,2)*INDEX($Q$5:$Q$34,3))</f>
        <v>0.91890677437902368</v>
      </c>
      <c r="X10" s="44">
        <f t="shared" si="14"/>
        <v>1.7414459416313477E-2</v>
      </c>
      <c r="Y10" s="45">
        <f t="shared" si="15"/>
        <v>4.7585527519671444</v>
      </c>
      <c r="Z10" s="43">
        <f t="shared" si="16"/>
        <v>3.4083146640521353E-2</v>
      </c>
    </row>
    <row r="11" spans="1:26" x14ac:dyDescent="0.2">
      <c r="A11">
        <v>7</v>
      </c>
      <c r="B11" s="40">
        <f>IF(Inputs!C34="","",Inputs!C34)</f>
        <v>24</v>
      </c>
      <c r="C11">
        <f t="shared" si="10"/>
        <v>7</v>
      </c>
      <c r="D11">
        <f t="shared" si="0"/>
        <v>7</v>
      </c>
      <c r="E11" s="41">
        <f t="shared" si="1"/>
        <v>24</v>
      </c>
      <c r="F11" t="str">
        <f t="shared" si="2"/>
        <v>quoted</v>
      </c>
      <c r="G11" s="42">
        <f>IF(Inputs!D34="","",Inputs!D34)</f>
        <v>3.7260000000000001E-2</v>
      </c>
      <c r="H11">
        <f t="shared" si="11"/>
        <v>7</v>
      </c>
      <c r="I11">
        <f t="shared" si="3"/>
        <v>7</v>
      </c>
      <c r="J11" s="43">
        <f t="shared" si="4"/>
        <v>3.7260000000000001E-2</v>
      </c>
      <c r="K11" s="43">
        <f>2*((1+J11/Inputs!$C$18)^(Inputs!$C$18/2)-1)</f>
        <v>3.6919242385421658E-2</v>
      </c>
      <c r="L11" t="str">
        <f t="shared" si="5"/>
        <v>quoted</v>
      </c>
      <c r="M11" s="42">
        <f>IF(Inputs!E34="","",Inputs!E34)</f>
        <v>3.44E-2</v>
      </c>
      <c r="N11">
        <f t="shared" si="12"/>
        <v>7</v>
      </c>
      <c r="O11">
        <f t="shared" si="6"/>
        <v>7</v>
      </c>
      <c r="P11" s="43">
        <f t="shared" si="7"/>
        <v>3.44E-2</v>
      </c>
      <c r="Q11" s="44">
        <f>(1-P11*Inputs!$C$16*R10)/(1+P11*Inputs!$C$16)</f>
        <v>0.78914067049972247</v>
      </c>
      <c r="R11" s="45">
        <f t="shared" si="13"/>
        <v>6.1296316715196975</v>
      </c>
      <c r="S11" t="str">
        <f t="shared" si="8"/>
        <v>quoted</v>
      </c>
      <c r="U11">
        <v>6</v>
      </c>
      <c r="V11">
        <f t="shared" si="9"/>
        <v>3</v>
      </c>
      <c r="W11" s="44">
        <f>INDEX($Q$5:$Q$34,3)</f>
        <v>0.90317841060190629</v>
      </c>
      <c r="X11" s="44">
        <f t="shared" si="14"/>
        <v>1.7414459416313477E-2</v>
      </c>
      <c r="Y11" s="45">
        <f t="shared" si="15"/>
        <v>5.6617311625690512</v>
      </c>
      <c r="Z11" s="43">
        <f t="shared" si="16"/>
        <v>3.4202114730633101E-2</v>
      </c>
    </row>
    <row r="12" spans="1:26" x14ac:dyDescent="0.2">
      <c r="A12">
        <v>8</v>
      </c>
      <c r="B12" s="46">
        <f>IF(Inputs!C35="","",Inputs!C35)</f>
        <v>30</v>
      </c>
      <c r="C12">
        <f t="shared" si="10"/>
        <v>8</v>
      </c>
      <c r="D12">
        <f t="shared" si="0"/>
        <v>8</v>
      </c>
      <c r="E12" s="41">
        <f t="shared" si="1"/>
        <v>30</v>
      </c>
      <c r="F12" t="str">
        <f t="shared" si="2"/>
        <v>quoted</v>
      </c>
      <c r="G12" s="42">
        <f>IF(Inputs!D35="","",Inputs!D35)</f>
        <v>3.8039999999999997E-2</v>
      </c>
      <c r="H12">
        <f t="shared" si="11"/>
        <v>8</v>
      </c>
      <c r="I12">
        <f t="shared" si="3"/>
        <v>8</v>
      </c>
      <c r="J12" s="43">
        <f t="shared" si="4"/>
        <v>3.8039999999999997E-2</v>
      </c>
      <c r="K12" s="43">
        <f>2*((1+J12/Inputs!$C$18)^(Inputs!$C$18/2)-1)</f>
        <v>3.768496092992768E-2</v>
      </c>
      <c r="L12" t="str">
        <f t="shared" si="5"/>
        <v>quoted</v>
      </c>
      <c r="M12" s="42">
        <f>IF(Inputs!E35="","",Inputs!E35)</f>
        <v>3.4500000000000003E-2</v>
      </c>
      <c r="N12">
        <f t="shared" si="12"/>
        <v>8</v>
      </c>
      <c r="O12">
        <f t="shared" si="6"/>
        <v>8</v>
      </c>
      <c r="P12" s="43">
        <f t="shared" si="7"/>
        <v>3.4500000000000003E-2</v>
      </c>
      <c r="Q12" s="44">
        <f>(1-P12*Inputs!$C$16*R11)/(1+P12*Inputs!$C$16)</f>
        <v>0.76223074657570844</v>
      </c>
      <c r="R12" s="45">
        <f t="shared" si="13"/>
        <v>6.891862418095406</v>
      </c>
      <c r="S12" t="str">
        <f t="shared" si="8"/>
        <v>quoted</v>
      </c>
      <c r="U12">
        <v>7</v>
      </c>
      <c r="V12">
        <f t="shared" si="9"/>
        <v>3.5</v>
      </c>
      <c r="W12" s="44">
        <f>SQRT(INDEX($Q$5:$Q$34,3)*INDEX($Q$5:$Q$34,4))</f>
        <v>0.88817133984289254</v>
      </c>
      <c r="X12" s="44">
        <f t="shared" si="14"/>
        <v>1.6896594255865427E-2</v>
      </c>
      <c r="Y12" s="45">
        <f t="shared" si="15"/>
        <v>6.5499025024119435</v>
      </c>
      <c r="Z12" s="43">
        <f t="shared" si="16"/>
        <v>3.4146664050625962E-2</v>
      </c>
    </row>
    <row r="13" spans="1:26" x14ac:dyDescent="0.2">
      <c r="A13">
        <v>9</v>
      </c>
      <c r="B13" s="46">
        <f>IF(Inputs!C36="","",Inputs!C36)</f>
        <v>37</v>
      </c>
      <c r="C13">
        <f t="shared" si="10"/>
        <v>9</v>
      </c>
      <c r="D13">
        <f t="shared" si="0"/>
        <v>9</v>
      </c>
      <c r="E13" s="41">
        <f t="shared" si="1"/>
        <v>37</v>
      </c>
      <c r="F13" t="str">
        <f t="shared" si="2"/>
        <v>quoted</v>
      </c>
      <c r="G13" s="42">
        <f>IF(Inputs!D36="","",Inputs!D36)</f>
        <v>3.8879999999999998E-2</v>
      </c>
      <c r="H13">
        <f t="shared" si="11"/>
        <v>9</v>
      </c>
      <c r="I13">
        <f t="shared" si="3"/>
        <v>9</v>
      </c>
      <c r="J13" s="43">
        <f t="shared" si="4"/>
        <v>3.8879999999999998E-2</v>
      </c>
      <c r="K13" s="43">
        <f>2*((1+J13/Inputs!$C$18)^(Inputs!$C$18/2)-1)</f>
        <v>3.8509259238230786E-2</v>
      </c>
      <c r="L13" t="str">
        <f t="shared" si="5"/>
        <v>quoted</v>
      </c>
      <c r="M13" s="42" t="str">
        <f>IF(Inputs!E36="","",Inputs!E36)</f>
        <v/>
      </c>
      <c r="N13">
        <f t="shared" si="12"/>
        <v>8</v>
      </c>
      <c r="O13">
        <f t="shared" si="6"/>
        <v>10</v>
      </c>
      <c r="P13" s="43">
        <f t="shared" si="7"/>
        <v>3.4600000000000006E-2</v>
      </c>
      <c r="Q13" s="44">
        <f>(1-P13*Inputs!$C$16*R12)/(1+P13*Inputs!$C$16)</f>
        <v>0.7360734200018354</v>
      </c>
      <c r="R13" s="45">
        <f t="shared" si="13"/>
        <v>7.6279358380972413</v>
      </c>
      <c r="S13" t="str">
        <f t="shared" si="8"/>
        <v>interpolated</v>
      </c>
      <c r="U13">
        <v>8</v>
      </c>
      <c r="V13">
        <f t="shared" si="9"/>
        <v>4</v>
      </c>
      <c r="W13" s="44">
        <f>INDEX($Q$5:$Q$34,4)</f>
        <v>0.87341362421695368</v>
      </c>
      <c r="X13" s="44">
        <f t="shared" si="14"/>
        <v>1.6896594255865427E-2</v>
      </c>
      <c r="Y13" s="45">
        <f t="shared" si="15"/>
        <v>7.4233161266288974</v>
      </c>
      <c r="Z13" s="43">
        <f t="shared" si="16"/>
        <v>3.4105074773511546E-2</v>
      </c>
    </row>
    <row r="14" spans="1:26" x14ac:dyDescent="0.2">
      <c r="A14">
        <v>10</v>
      </c>
      <c r="B14" s="40">
        <f>IF(Inputs!C37="","",Inputs!C37)</f>
        <v>42</v>
      </c>
      <c r="C14">
        <f t="shared" si="10"/>
        <v>10</v>
      </c>
      <c r="D14">
        <f t="shared" si="0"/>
        <v>10</v>
      </c>
      <c r="E14" s="41">
        <f t="shared" si="1"/>
        <v>42</v>
      </c>
      <c r="F14" t="str">
        <f t="shared" si="2"/>
        <v>quoted</v>
      </c>
      <c r="G14" s="42">
        <f>IF(Inputs!D37="","",Inputs!D37)</f>
        <v>3.9419999999999997E-2</v>
      </c>
      <c r="H14">
        <f t="shared" si="11"/>
        <v>10</v>
      </c>
      <c r="I14">
        <f t="shared" si="3"/>
        <v>10</v>
      </c>
      <c r="J14" s="43">
        <f t="shared" si="4"/>
        <v>3.9419999999999997E-2</v>
      </c>
      <c r="K14" s="43">
        <f>2*((1+J14/Inputs!$C$18)^(Inputs!$C$18/2)-1)</f>
        <v>3.9038989328060936E-2</v>
      </c>
      <c r="L14" t="str">
        <f t="shared" si="5"/>
        <v>quoted</v>
      </c>
      <c r="M14" s="42">
        <f>IF(Inputs!E37="","",Inputs!E37)</f>
        <v>3.4700000000000002E-2</v>
      </c>
      <c r="N14">
        <f t="shared" si="12"/>
        <v>10</v>
      </c>
      <c r="O14">
        <f t="shared" si="6"/>
        <v>10</v>
      </c>
      <c r="P14" s="43">
        <f t="shared" si="7"/>
        <v>3.4700000000000002E-2</v>
      </c>
      <c r="Q14" s="44">
        <f>(1-P14*Inputs!$C$16*R13)/(1+P14*Inputs!$C$16)</f>
        <v>0.71065103548663933</v>
      </c>
      <c r="R14" s="45">
        <f t="shared" si="13"/>
        <v>8.3385868735838802</v>
      </c>
      <c r="S14" t="str">
        <f t="shared" si="8"/>
        <v>quoted</v>
      </c>
      <c r="U14">
        <v>9</v>
      </c>
      <c r="V14">
        <f t="shared" si="9"/>
        <v>4.5</v>
      </c>
      <c r="W14" s="44">
        <f>SQRT(INDEX($Q$5:$Q$34,4)*INDEX($Q$5:$Q$34,5))</f>
        <v>0.8587677095081333</v>
      </c>
      <c r="X14" s="44">
        <f t="shared" si="14"/>
        <v>1.705457080728956E-2</v>
      </c>
      <c r="Y14" s="45">
        <f t="shared" si="15"/>
        <v>8.2820838361370299</v>
      </c>
      <c r="Z14" s="43">
        <f t="shared" si="16"/>
        <v>3.4105496463494131E-2</v>
      </c>
    </row>
    <row r="15" spans="1:26" x14ac:dyDescent="0.2">
      <c r="A15">
        <v>11</v>
      </c>
      <c r="B15" s="46">
        <f>IF(Inputs!C38="","",Inputs!C38)</f>
        <v>46</v>
      </c>
      <c r="C15">
        <f t="shared" si="10"/>
        <v>11</v>
      </c>
      <c r="D15">
        <f t="shared" si="0"/>
        <v>11</v>
      </c>
      <c r="E15" s="41">
        <f t="shared" si="1"/>
        <v>46</v>
      </c>
      <c r="F15" t="str">
        <f t="shared" si="2"/>
        <v>quoted</v>
      </c>
      <c r="G15" s="42">
        <f>IF(Inputs!D38="","",Inputs!D38)</f>
        <v>3.9949999999999999E-2</v>
      </c>
      <c r="H15">
        <f t="shared" si="11"/>
        <v>11</v>
      </c>
      <c r="I15">
        <f t="shared" si="3"/>
        <v>11</v>
      </c>
      <c r="J15" s="43">
        <f t="shared" si="4"/>
        <v>3.9949999999999999E-2</v>
      </c>
      <c r="K15" s="43">
        <f>2*((1+J15/Inputs!$C$18)^(Inputs!$C$18/2)-1)</f>
        <v>3.9558775814023672E-2</v>
      </c>
      <c r="L15" t="str">
        <f t="shared" si="5"/>
        <v>quoted</v>
      </c>
      <c r="M15" s="42" t="str">
        <f>IF(Inputs!E38="","",Inputs!E38)</f>
        <v/>
      </c>
      <c r="N15">
        <f t="shared" si="12"/>
        <v>10</v>
      </c>
      <c r="O15">
        <f t="shared" si="6"/>
        <v>15</v>
      </c>
      <c r="P15" s="43">
        <f t="shared" si="7"/>
        <v>3.4779999999999998E-2</v>
      </c>
      <c r="Q15" s="44">
        <f>(1-P15*Inputs!$C$16*R14)/(1+P15*Inputs!$C$16)</f>
        <v>0.68612067157922718</v>
      </c>
      <c r="R15" s="45">
        <f t="shared" si="13"/>
        <v>9.0247075451631069</v>
      </c>
      <c r="S15" t="str">
        <f t="shared" si="8"/>
        <v>interpolated</v>
      </c>
      <c r="U15">
        <v>10</v>
      </c>
      <c r="V15">
        <f t="shared" si="9"/>
        <v>5</v>
      </c>
      <c r="W15" s="44">
        <f>INDEX($Q$5:$Q$34,5)</f>
        <v>0.8443673861339458</v>
      </c>
      <c r="X15" s="44">
        <f t="shared" si="14"/>
        <v>1.7054570807289782E-2</v>
      </c>
      <c r="Y15" s="45">
        <f t="shared" si="15"/>
        <v>9.1264512222709762</v>
      </c>
      <c r="Z15" s="43">
        <f t="shared" si="16"/>
        <v>3.4105833708127226E-2</v>
      </c>
    </row>
    <row r="16" spans="1:26" x14ac:dyDescent="0.2">
      <c r="A16">
        <v>12</v>
      </c>
      <c r="B16" s="46" t="str">
        <f>IF(Inputs!C39="","",Inputs!C39)</f>
        <v/>
      </c>
      <c r="C16">
        <f t="shared" si="10"/>
        <v>11</v>
      </c>
      <c r="D16">
        <f t="shared" si="0"/>
        <v>14</v>
      </c>
      <c r="E16" s="41">
        <f t="shared" si="1"/>
        <v>51</v>
      </c>
      <c r="F16" t="str">
        <f t="shared" si="2"/>
        <v>interpolated</v>
      </c>
      <c r="G16" s="42" t="str">
        <f>IF(Inputs!D39="","",Inputs!D39)</f>
        <v/>
      </c>
      <c r="H16">
        <f t="shared" si="11"/>
        <v>11</v>
      </c>
      <c r="I16">
        <f t="shared" si="3"/>
        <v>14</v>
      </c>
      <c r="J16" s="43">
        <f t="shared" si="4"/>
        <v>4.0626666666666665E-2</v>
      </c>
      <c r="K16" s="43">
        <f>2*((1+J16/Inputs!$C$18)^(Inputs!$C$18/2)-1)</f>
        <v>4.0222210119933433E-2</v>
      </c>
      <c r="L16" t="str">
        <f t="shared" si="5"/>
        <v>interpolated</v>
      </c>
      <c r="M16" s="42" t="str">
        <f>IF(Inputs!E39="","",Inputs!E39)</f>
        <v/>
      </c>
      <c r="N16">
        <f t="shared" si="12"/>
        <v>10</v>
      </c>
      <c r="O16">
        <f t="shared" si="6"/>
        <v>15</v>
      </c>
      <c r="P16" s="43">
        <f t="shared" si="7"/>
        <v>3.4860000000000002E-2</v>
      </c>
      <c r="Q16" s="44">
        <f>(1-P16*Inputs!$C$16*R15)/(1+P16*Inputs!$C$16)</f>
        <v>0.66231054922947452</v>
      </c>
      <c r="R16" s="45">
        <f t="shared" si="13"/>
        <v>9.687018094392581</v>
      </c>
      <c r="S16" t="str">
        <f t="shared" si="8"/>
        <v>interpolated</v>
      </c>
      <c r="U16">
        <v>11</v>
      </c>
      <c r="V16">
        <f t="shared" si="9"/>
        <v>5.5</v>
      </c>
      <c r="W16" s="44">
        <f>SQRT(INDEX($Q$5:$Q$34,5)*INDEX($Q$5:$Q$34,6))</f>
        <v>0.8302085358740654</v>
      </c>
      <c r="X16" s="44">
        <f t="shared" si="14"/>
        <v>1.705457080728956E-2</v>
      </c>
      <c r="Y16" s="45">
        <f t="shared" si="15"/>
        <v>9.956659758145042</v>
      </c>
      <c r="Z16" s="43">
        <f t="shared" si="16"/>
        <v>3.4106109528757728E-2</v>
      </c>
    </row>
    <row r="17" spans="1:26" x14ac:dyDescent="0.2">
      <c r="A17">
        <v>13</v>
      </c>
      <c r="B17" s="46" t="str">
        <f>IF(Inputs!C40="","",Inputs!C40)</f>
        <v/>
      </c>
      <c r="C17">
        <f t="shared" si="10"/>
        <v>11</v>
      </c>
      <c r="D17">
        <f t="shared" si="0"/>
        <v>14</v>
      </c>
      <c r="E17" s="41">
        <f t="shared" si="1"/>
        <v>56</v>
      </c>
      <c r="F17" t="str">
        <f t="shared" si="2"/>
        <v>interpolated</v>
      </c>
      <c r="G17" s="42" t="str">
        <f>IF(Inputs!D40="","",Inputs!D40)</f>
        <v/>
      </c>
      <c r="H17">
        <f t="shared" si="11"/>
        <v>11</v>
      </c>
      <c r="I17">
        <f t="shared" si="3"/>
        <v>14</v>
      </c>
      <c r="J17" s="43">
        <f t="shared" si="4"/>
        <v>4.1303333333333338E-2</v>
      </c>
      <c r="K17" s="43">
        <f>2*((1+J17/Inputs!$C$18)^(Inputs!$C$18/2)-1)</f>
        <v>4.0885428762068798E-2</v>
      </c>
      <c r="L17" t="str">
        <f t="shared" si="5"/>
        <v>interpolated</v>
      </c>
      <c r="M17" s="42" t="str">
        <f>IF(Inputs!E40="","",Inputs!E40)</f>
        <v/>
      </c>
      <c r="N17">
        <f t="shared" si="12"/>
        <v>10</v>
      </c>
      <c r="O17">
        <f t="shared" si="6"/>
        <v>15</v>
      </c>
      <c r="P17" s="43">
        <f t="shared" si="7"/>
        <v>3.4939999999999999E-2</v>
      </c>
      <c r="Q17" s="44">
        <f>(1-P17*Inputs!$C$16*R16)/(1+P17*Inputs!$C$16)</f>
        <v>0.63920187429408781</v>
      </c>
      <c r="R17" s="45">
        <f t="shared" si="13"/>
        <v>10.326219968686669</v>
      </c>
      <c r="S17" t="str">
        <f t="shared" si="8"/>
        <v>interpolated</v>
      </c>
      <c r="U17">
        <v>12</v>
      </c>
      <c r="V17">
        <f t="shared" si="9"/>
        <v>6</v>
      </c>
      <c r="W17" s="44">
        <f>INDEX($Q$5:$Q$34,6)</f>
        <v>0.81628710956491279</v>
      </c>
      <c r="X17" s="44">
        <f t="shared" si="14"/>
        <v>1.705457080728956E-2</v>
      </c>
      <c r="Y17" s="45">
        <f t="shared" si="15"/>
        <v>10.772946867709955</v>
      </c>
      <c r="Z17" s="43">
        <f t="shared" si="16"/>
        <v>3.4106339275789953E-2</v>
      </c>
    </row>
    <row r="18" spans="1:26" x14ac:dyDescent="0.2">
      <c r="A18">
        <v>14</v>
      </c>
      <c r="B18" s="46">
        <f>IF(Inputs!C41="","",Inputs!C41)</f>
        <v>61</v>
      </c>
      <c r="C18">
        <f t="shared" si="10"/>
        <v>14</v>
      </c>
      <c r="D18">
        <f t="shared" si="0"/>
        <v>14</v>
      </c>
      <c r="E18" s="41">
        <f t="shared" si="1"/>
        <v>61</v>
      </c>
      <c r="F18" t="str">
        <f t="shared" si="2"/>
        <v>quoted</v>
      </c>
      <c r="G18" s="42">
        <f>IF(Inputs!D41="","",Inputs!D41)</f>
        <v>4.1980000000000003E-2</v>
      </c>
      <c r="H18">
        <f t="shared" si="11"/>
        <v>14</v>
      </c>
      <c r="I18">
        <f t="shared" si="3"/>
        <v>14</v>
      </c>
      <c r="J18" s="43">
        <f t="shared" si="4"/>
        <v>4.1980000000000003E-2</v>
      </c>
      <c r="K18" s="43">
        <f>2*((1+J18/Inputs!$C$18)^(Inputs!$C$18/2)-1)</f>
        <v>4.154843195061142E-2</v>
      </c>
      <c r="L18" t="str">
        <f t="shared" si="5"/>
        <v>quoted</v>
      </c>
      <c r="M18" s="42" t="str">
        <f>IF(Inputs!E41="","",Inputs!E41)</f>
        <v/>
      </c>
      <c r="N18">
        <f t="shared" si="12"/>
        <v>10</v>
      </c>
      <c r="O18">
        <f t="shared" si="6"/>
        <v>15</v>
      </c>
      <c r="P18" s="43">
        <f t="shared" si="7"/>
        <v>3.5020000000000003E-2</v>
      </c>
      <c r="Q18" s="44">
        <f>(1-P18*Inputs!$C$16*R17)/(1+P18*Inputs!$C$16)</f>
        <v>0.61677627166295612</v>
      </c>
      <c r="R18" s="45">
        <f t="shared" si="13"/>
        <v>10.942996240349625</v>
      </c>
      <c r="S18" t="str">
        <f t="shared" si="8"/>
        <v>interpolated</v>
      </c>
      <c r="U18">
        <v>13</v>
      </c>
      <c r="V18">
        <f t="shared" si="9"/>
        <v>6.5</v>
      </c>
      <c r="W18" s="44">
        <f>SQRT(INDEX($Q$5:$Q$34,6)*INDEX($Q$5:$Q$34,7))</f>
        <v>0.80259912594167193</v>
      </c>
      <c r="X18" s="44">
        <f t="shared" si="14"/>
        <v>1.7054570807289338E-2</v>
      </c>
      <c r="Y18" s="45">
        <f t="shared" si="15"/>
        <v>11.575545993651627</v>
      </c>
      <c r="Z18" s="43">
        <f t="shared" si="16"/>
        <v>3.4106533578042636E-2</v>
      </c>
    </row>
    <row r="19" spans="1:26" x14ac:dyDescent="0.2">
      <c r="A19">
        <v>15</v>
      </c>
      <c r="B19" s="40">
        <f>IF(Inputs!C42="","",Inputs!C42)</f>
        <v>65</v>
      </c>
      <c r="C19">
        <f t="shared" si="10"/>
        <v>15</v>
      </c>
      <c r="D19">
        <f t="shared" si="0"/>
        <v>15</v>
      </c>
      <c r="E19" s="41">
        <f t="shared" si="1"/>
        <v>65</v>
      </c>
      <c r="F19" t="str">
        <f t="shared" si="2"/>
        <v>quoted</v>
      </c>
      <c r="G19" s="42">
        <f>IF(Inputs!D42="","",Inputs!D42)</f>
        <v>4.2560000000000001E-2</v>
      </c>
      <c r="H19">
        <f t="shared" si="11"/>
        <v>15</v>
      </c>
      <c r="I19">
        <f t="shared" si="3"/>
        <v>15</v>
      </c>
      <c r="J19" s="43">
        <f t="shared" si="4"/>
        <v>4.2560000000000001E-2</v>
      </c>
      <c r="K19" s="43">
        <f>2*((1+J19/Inputs!$C$18)^(Inputs!$C$18/2)-1)</f>
        <v>4.2116549073534237E-2</v>
      </c>
      <c r="L19" t="str">
        <f t="shared" si="5"/>
        <v>quoted</v>
      </c>
      <c r="M19" s="42">
        <f>IF(Inputs!E42="","",Inputs!E42)</f>
        <v>3.5099999999999999E-2</v>
      </c>
      <c r="N19">
        <f t="shared" si="12"/>
        <v>15</v>
      </c>
      <c r="O19">
        <f t="shared" si="6"/>
        <v>15</v>
      </c>
      <c r="P19" s="43">
        <f t="shared" si="7"/>
        <v>3.5099999999999999E-2</v>
      </c>
      <c r="Q19" s="44">
        <f>(1-P19*Inputs!$C$16*R18)/(1+P19*Inputs!$C$16)</f>
        <v>0.59501577815064066</v>
      </c>
      <c r="R19" s="45">
        <f t="shared" si="13"/>
        <v>11.538012018500266</v>
      </c>
      <c r="S19" t="str">
        <f t="shared" si="8"/>
        <v>quoted</v>
      </c>
      <c r="U19">
        <v>14</v>
      </c>
      <c r="V19">
        <f t="shared" si="9"/>
        <v>7</v>
      </c>
      <c r="W19" s="44">
        <f>INDEX($Q$5:$Q$34,7)</f>
        <v>0.78914067049972247</v>
      </c>
      <c r="X19" s="44">
        <f t="shared" si="14"/>
        <v>1.705457080728956E-2</v>
      </c>
      <c r="Y19" s="45">
        <f t="shared" si="15"/>
        <v>12.36468666415135</v>
      </c>
      <c r="Z19" s="43">
        <f t="shared" si="16"/>
        <v>3.4106700028496008E-2</v>
      </c>
    </row>
    <row r="20" spans="1:26" x14ac:dyDescent="0.2">
      <c r="A20">
        <v>16</v>
      </c>
      <c r="B20" s="46" t="str">
        <f>IF(Inputs!C43="","",Inputs!C43)</f>
        <v/>
      </c>
      <c r="C20">
        <f t="shared" si="10"/>
        <v>15</v>
      </c>
      <c r="D20">
        <f t="shared" si="0"/>
        <v>18</v>
      </c>
      <c r="E20" s="41">
        <f t="shared" si="1"/>
        <v>68</v>
      </c>
      <c r="F20" t="str">
        <f t="shared" si="2"/>
        <v>interpolated</v>
      </c>
      <c r="G20" s="42" t="str">
        <f>IF(Inputs!D43="","",Inputs!D43)</f>
        <v/>
      </c>
      <c r="H20">
        <f t="shared" si="11"/>
        <v>15</v>
      </c>
      <c r="I20">
        <f t="shared" si="3"/>
        <v>18</v>
      </c>
      <c r="J20" s="43">
        <f t="shared" si="4"/>
        <v>4.2773333333333337E-2</v>
      </c>
      <c r="K20" s="43">
        <f>2*((1+J20/Inputs!$C$18)^(Inputs!$C$18/2)-1)</f>
        <v>4.2325471939605563E-2</v>
      </c>
      <c r="L20" t="str">
        <f t="shared" si="5"/>
        <v>interpolated</v>
      </c>
      <c r="M20" s="42" t="str">
        <f>IF(Inputs!E43="","",Inputs!E43)</f>
        <v/>
      </c>
      <c r="N20">
        <f t="shared" si="12"/>
        <v>15</v>
      </c>
      <c r="O20">
        <f t="shared" si="6"/>
        <v>20</v>
      </c>
      <c r="P20" s="43">
        <f t="shared" si="7"/>
        <v>3.5020000000000003E-2</v>
      </c>
      <c r="Q20" s="44">
        <f>(1-P20*Inputs!$C$16*R19)/(1+P20*Inputs!$C$16)</f>
        <v>0.57577517256876254</v>
      </c>
      <c r="R20" s="45">
        <f t="shared" si="13"/>
        <v>12.113787191069029</v>
      </c>
      <c r="S20" t="str">
        <f t="shared" si="8"/>
        <v>interpolated</v>
      </c>
      <c r="U20">
        <v>15</v>
      </c>
      <c r="V20">
        <f t="shared" si="9"/>
        <v>7.5</v>
      </c>
      <c r="W20" s="44">
        <f>SQRT(INDEX($Q$5:$Q$34,7)*INDEX($Q$5:$Q$34,8))</f>
        <v>0.77556900558767727</v>
      </c>
      <c r="X20" s="44">
        <f t="shared" si="14"/>
        <v>1.7498977930095805E-2</v>
      </c>
      <c r="Y20" s="45">
        <f t="shared" si="15"/>
        <v>13.140255669739027</v>
      </c>
      <c r="Z20" s="43">
        <f t="shared" si="16"/>
        <v>3.4159304058165266E-2</v>
      </c>
    </row>
    <row r="21" spans="1:26" x14ac:dyDescent="0.2">
      <c r="A21">
        <v>17</v>
      </c>
      <c r="B21" s="46" t="str">
        <f>IF(Inputs!C44="","",Inputs!C44)</f>
        <v/>
      </c>
      <c r="C21">
        <f t="shared" si="10"/>
        <v>15</v>
      </c>
      <c r="D21">
        <f t="shared" si="0"/>
        <v>18</v>
      </c>
      <c r="E21" s="41">
        <f t="shared" si="1"/>
        <v>71</v>
      </c>
      <c r="F21" t="str">
        <f t="shared" si="2"/>
        <v>interpolated</v>
      </c>
      <c r="G21" s="42" t="str">
        <f>IF(Inputs!D44="","",Inputs!D44)</f>
        <v/>
      </c>
      <c r="H21">
        <f t="shared" si="11"/>
        <v>15</v>
      </c>
      <c r="I21">
        <f t="shared" si="3"/>
        <v>18</v>
      </c>
      <c r="J21" s="43">
        <f t="shared" si="4"/>
        <v>4.2986666666666666E-2</v>
      </c>
      <c r="K21" s="43">
        <f>2*((1+J21/Inputs!$C$18)^(Inputs!$C$18/2)-1)</f>
        <v>4.2534373435773265E-2</v>
      </c>
      <c r="L21" t="str">
        <f t="shared" si="5"/>
        <v>interpolated</v>
      </c>
      <c r="M21" s="42" t="str">
        <f>IF(Inputs!E44="","",Inputs!E44)</f>
        <v/>
      </c>
      <c r="N21">
        <f t="shared" si="12"/>
        <v>15</v>
      </c>
      <c r="O21">
        <f t="shared" si="6"/>
        <v>20</v>
      </c>
      <c r="P21" s="43">
        <f t="shared" si="7"/>
        <v>3.4939999999999999E-2</v>
      </c>
      <c r="Q21" s="44">
        <f>(1-P21*Inputs!$C$16*R20)/(1+P21*Inputs!$C$16)</f>
        <v>0.55727315162622781</v>
      </c>
      <c r="R21" s="45">
        <f t="shared" si="13"/>
        <v>12.671060342695258</v>
      </c>
      <c r="S21" t="str">
        <f t="shared" si="8"/>
        <v>interpolated</v>
      </c>
      <c r="U21">
        <v>16</v>
      </c>
      <c r="V21">
        <f t="shared" si="9"/>
        <v>8</v>
      </c>
      <c r="W21" s="44">
        <f>INDEX($Q$5:$Q$34,8)</f>
        <v>0.76223074657570844</v>
      </c>
      <c r="X21" s="44">
        <f t="shared" si="14"/>
        <v>1.7498977930095805E-2</v>
      </c>
      <c r="Y21" s="45">
        <f t="shared" si="15"/>
        <v>13.902486416314735</v>
      </c>
      <c r="Z21" s="43">
        <f t="shared" si="16"/>
        <v>3.420528476766091E-2</v>
      </c>
    </row>
    <row r="22" spans="1:26" x14ac:dyDescent="0.2">
      <c r="A22">
        <v>18</v>
      </c>
      <c r="B22" s="46">
        <f>IF(Inputs!C45="","",Inputs!C45)</f>
        <v>74</v>
      </c>
      <c r="C22">
        <f t="shared" si="10"/>
        <v>18</v>
      </c>
      <c r="D22">
        <f t="shared" si="0"/>
        <v>18</v>
      </c>
      <c r="E22" s="41">
        <f t="shared" si="1"/>
        <v>74</v>
      </c>
      <c r="F22" t="str">
        <f t="shared" si="2"/>
        <v>quoted</v>
      </c>
      <c r="G22" s="42">
        <f>IF(Inputs!D45="","",Inputs!D45)</f>
        <v>4.3200000000000002E-2</v>
      </c>
      <c r="H22">
        <f t="shared" si="11"/>
        <v>18</v>
      </c>
      <c r="I22">
        <f t="shared" si="3"/>
        <v>18</v>
      </c>
      <c r="J22" s="43">
        <f t="shared" si="4"/>
        <v>4.3200000000000002E-2</v>
      </c>
      <c r="K22" s="43">
        <f>2*((1+J22/Inputs!$C$18)^(Inputs!$C$18/2)-1)</f>
        <v>4.2743253568592543E-2</v>
      </c>
      <c r="L22" t="str">
        <f t="shared" si="5"/>
        <v>quoted</v>
      </c>
      <c r="M22" s="42" t="str">
        <f>IF(Inputs!E45="","",Inputs!E45)</f>
        <v/>
      </c>
      <c r="N22">
        <f t="shared" si="12"/>
        <v>15</v>
      </c>
      <c r="O22">
        <f t="shared" si="6"/>
        <v>20</v>
      </c>
      <c r="P22" s="43">
        <f t="shared" si="7"/>
        <v>3.4860000000000002E-2</v>
      </c>
      <c r="Q22" s="44">
        <f>(1-P22*Inputs!$C$16*R21)/(1+P22*Inputs!$C$16)</f>
        <v>0.5394805446665667</v>
      </c>
      <c r="R22" s="45">
        <f t="shared" si="13"/>
        <v>13.210540887361825</v>
      </c>
      <c r="S22" t="str">
        <f t="shared" si="8"/>
        <v>interpolated</v>
      </c>
      <c r="U22">
        <v>17</v>
      </c>
      <c r="V22">
        <f t="shared" si="9"/>
        <v>8.5</v>
      </c>
      <c r="W22" s="44">
        <f>SQRT(INDEX($Q$5:$Q$34,8)*INDEX($Q$5:$Q$34,9))</f>
        <v>0.74903791123182406</v>
      </c>
      <c r="X22" s="44">
        <f t="shared" si="14"/>
        <v>1.761304087023885E-2</v>
      </c>
      <c r="Y22" s="45">
        <f t="shared" si="15"/>
        <v>14.651524327546559</v>
      </c>
      <c r="Z22" s="43">
        <f t="shared" si="16"/>
        <v>3.4257471530977593E-2</v>
      </c>
    </row>
    <row r="23" spans="1:26" x14ac:dyDescent="0.2">
      <c r="A23">
        <v>19</v>
      </c>
      <c r="B23" s="46" t="str">
        <f>IF(Inputs!C46="","",Inputs!C46)</f>
        <v/>
      </c>
      <c r="C23">
        <f t="shared" si="10"/>
        <v>18</v>
      </c>
      <c r="D23">
        <f t="shared" si="0"/>
        <v>20</v>
      </c>
      <c r="E23" s="41">
        <f t="shared" si="1"/>
        <v>76</v>
      </c>
      <c r="F23" t="str">
        <f t="shared" si="2"/>
        <v>interpolated</v>
      </c>
      <c r="G23" s="42" t="str">
        <f>IF(Inputs!D46="","",Inputs!D46)</f>
        <v/>
      </c>
      <c r="H23">
        <f t="shared" si="11"/>
        <v>18</v>
      </c>
      <c r="I23">
        <f t="shared" si="3"/>
        <v>20</v>
      </c>
      <c r="J23" s="43">
        <f t="shared" si="4"/>
        <v>4.3345000000000002E-2</v>
      </c>
      <c r="K23" s="43">
        <f>2*((1+J23/Inputs!$C$18)^(Inputs!$C$18/2)-1)</f>
        <v>4.288521459234218E-2</v>
      </c>
      <c r="L23" t="str">
        <f t="shared" si="5"/>
        <v>interpolated</v>
      </c>
      <c r="M23" s="42" t="str">
        <f>IF(Inputs!E46="","",Inputs!E46)</f>
        <v/>
      </c>
      <c r="N23">
        <f t="shared" si="12"/>
        <v>15</v>
      </c>
      <c r="O23">
        <f t="shared" si="6"/>
        <v>20</v>
      </c>
      <c r="P23" s="43">
        <f t="shared" si="7"/>
        <v>3.4779999999999998E-2</v>
      </c>
      <c r="Q23" s="44">
        <f>(1-P23*Inputs!$C$16*R22)/(1+P23*Inputs!$C$16)</f>
        <v>0.52236938087086693</v>
      </c>
      <c r="R23" s="45">
        <f t="shared" si="13"/>
        <v>13.732910268232692</v>
      </c>
      <c r="S23" t="str">
        <f t="shared" si="8"/>
        <v>interpolated</v>
      </c>
      <c r="U23">
        <v>18</v>
      </c>
      <c r="V23">
        <f t="shared" si="9"/>
        <v>9</v>
      </c>
      <c r="W23" s="44">
        <f>INDEX($Q$5:$Q$34,9)</f>
        <v>0.7360734200018354</v>
      </c>
      <c r="X23" s="44">
        <f t="shared" si="14"/>
        <v>1.7613040870238628E-2</v>
      </c>
      <c r="Y23" s="45">
        <f t="shared" si="15"/>
        <v>15.387597747548394</v>
      </c>
      <c r="Z23" s="43">
        <f t="shared" si="16"/>
        <v>3.4303805483895534E-2</v>
      </c>
    </row>
    <row r="24" spans="1:26" x14ac:dyDescent="0.2">
      <c r="A24">
        <v>20</v>
      </c>
      <c r="B24" s="40">
        <f>IF(Inputs!C47="","",Inputs!C47)</f>
        <v>78</v>
      </c>
      <c r="C24">
        <f t="shared" si="10"/>
        <v>20</v>
      </c>
      <c r="D24">
        <f t="shared" si="0"/>
        <v>20</v>
      </c>
      <c r="E24" s="41">
        <f t="shared" si="1"/>
        <v>78</v>
      </c>
      <c r="F24" t="str">
        <f t="shared" si="2"/>
        <v>quoted</v>
      </c>
      <c r="G24" s="42">
        <f>IF(Inputs!D47="","",Inputs!D47)</f>
        <v>4.3490000000000001E-2</v>
      </c>
      <c r="H24">
        <f t="shared" si="11"/>
        <v>20</v>
      </c>
      <c r="I24">
        <f t="shared" si="3"/>
        <v>20</v>
      </c>
      <c r="J24" s="43">
        <f t="shared" si="4"/>
        <v>4.3490000000000001E-2</v>
      </c>
      <c r="K24" s="43">
        <f>2*((1+J24/Inputs!$C$18)^(Inputs!$C$18/2)-1)</f>
        <v>4.3027165751841068E-2</v>
      </c>
      <c r="L24" t="str">
        <f t="shared" si="5"/>
        <v>quoted</v>
      </c>
      <c r="M24" s="42">
        <f>IF(Inputs!E47="","",Inputs!E47)</f>
        <v>3.4700000000000002E-2</v>
      </c>
      <c r="N24">
        <f t="shared" si="12"/>
        <v>20</v>
      </c>
      <c r="O24">
        <f t="shared" si="6"/>
        <v>20</v>
      </c>
      <c r="P24" s="43">
        <f t="shared" si="7"/>
        <v>3.4700000000000002E-2</v>
      </c>
      <c r="Q24" s="44">
        <f>(1-P24*Inputs!$C$16*R23)/(1+P24*Inputs!$C$16)</f>
        <v>0.50591283820655797</v>
      </c>
      <c r="R24" s="45">
        <f t="shared" si="13"/>
        <v>14.23882310643925</v>
      </c>
      <c r="S24" t="str">
        <f t="shared" si="8"/>
        <v>quoted</v>
      </c>
      <c r="U24">
        <v>19</v>
      </c>
      <c r="V24">
        <f t="shared" si="9"/>
        <v>9.5</v>
      </c>
      <c r="W24" s="44">
        <f>SQRT(INDEX($Q$5:$Q$34,9)*INDEX($Q$5:$Q$34,10))</f>
        <v>0.72325053620339352</v>
      </c>
      <c r="X24" s="44">
        <f t="shared" si="14"/>
        <v>1.7729518550727796E-2</v>
      </c>
      <c r="Y24" s="45">
        <f t="shared" si="15"/>
        <v>16.110848283751789</v>
      </c>
      <c r="Z24" s="43">
        <f t="shared" si="16"/>
        <v>3.4355666309106213E-2</v>
      </c>
    </row>
    <row r="25" spans="1:26" x14ac:dyDescent="0.2">
      <c r="A25">
        <v>21</v>
      </c>
      <c r="B25" s="46" t="str">
        <f>IF(Inputs!C48="","",Inputs!C48)</f>
        <v/>
      </c>
      <c r="C25">
        <f t="shared" si="10"/>
        <v>20</v>
      </c>
      <c r="D25">
        <f t="shared" si="0"/>
        <v>25</v>
      </c>
      <c r="E25" s="41">
        <f t="shared" si="1"/>
        <v>80.2</v>
      </c>
      <c r="F25" t="str">
        <f t="shared" si="2"/>
        <v>interpolated</v>
      </c>
      <c r="G25" s="42" t="str">
        <f>IF(Inputs!D48="","",Inputs!D48)</f>
        <v/>
      </c>
      <c r="H25">
        <f t="shared" si="11"/>
        <v>20</v>
      </c>
      <c r="I25">
        <f t="shared" si="3"/>
        <v>25</v>
      </c>
      <c r="J25" s="43">
        <f t="shared" si="4"/>
        <v>4.3490000000000001E-2</v>
      </c>
      <c r="K25" s="43">
        <f>2*((1+J25/Inputs!$C$18)^(Inputs!$C$18/2)-1)</f>
        <v>4.3027165751841068E-2</v>
      </c>
      <c r="L25" t="str">
        <f t="shared" si="5"/>
        <v>interpolated</v>
      </c>
      <c r="M25" s="42" t="str">
        <f>IF(Inputs!E48="","",Inputs!E48)</f>
        <v/>
      </c>
      <c r="N25">
        <f t="shared" si="12"/>
        <v>20</v>
      </c>
      <c r="O25">
        <f t="shared" si="6"/>
        <v>30</v>
      </c>
      <c r="P25" s="43">
        <f t="shared" si="7"/>
        <v>3.4520000000000002E-2</v>
      </c>
      <c r="Q25" s="44">
        <f>(1-P25*Inputs!$C$16*R24)/(1+P25*Inputs!$C$16)</f>
        <v>0.49150893783176441</v>
      </c>
      <c r="R25" s="45">
        <f t="shared" si="13"/>
        <v>14.730332044271014</v>
      </c>
      <c r="S25" t="str">
        <f t="shared" si="8"/>
        <v>interpolated</v>
      </c>
      <c r="U25">
        <v>20</v>
      </c>
      <c r="V25">
        <f t="shared" si="9"/>
        <v>10</v>
      </c>
      <c r="W25" s="44">
        <f>INDEX($Q$5:$Q$34,10)</f>
        <v>0.71065103548663933</v>
      </c>
      <c r="X25" s="44">
        <f t="shared" si="14"/>
        <v>1.7729518550727574E-2</v>
      </c>
      <c r="Y25" s="45">
        <f t="shared" si="15"/>
        <v>16.821499319238427</v>
      </c>
      <c r="Z25" s="43">
        <f t="shared" si="16"/>
        <v>3.4402279965905037E-2</v>
      </c>
    </row>
    <row r="26" spans="1:26" x14ac:dyDescent="0.2">
      <c r="A26">
        <v>22</v>
      </c>
      <c r="B26" s="46" t="str">
        <f>IF(Inputs!C49="","",Inputs!C49)</f>
        <v/>
      </c>
      <c r="C26">
        <f t="shared" si="10"/>
        <v>20</v>
      </c>
      <c r="D26">
        <f t="shared" si="0"/>
        <v>25</v>
      </c>
      <c r="E26" s="41">
        <f t="shared" si="1"/>
        <v>82.4</v>
      </c>
      <c r="F26" t="str">
        <f t="shared" si="2"/>
        <v>interpolated</v>
      </c>
      <c r="G26" s="42" t="str">
        <f>IF(Inputs!D49="","",Inputs!D49)</f>
        <v/>
      </c>
      <c r="H26">
        <f t="shared" si="11"/>
        <v>20</v>
      </c>
      <c r="I26">
        <f t="shared" si="3"/>
        <v>25</v>
      </c>
      <c r="J26" s="43">
        <f t="shared" si="4"/>
        <v>4.3490000000000001E-2</v>
      </c>
      <c r="K26" s="43">
        <f>2*((1+J26/Inputs!$C$18)^(Inputs!$C$18/2)-1)</f>
        <v>4.3027165751841068E-2</v>
      </c>
      <c r="L26" t="str">
        <f t="shared" si="5"/>
        <v>interpolated</v>
      </c>
      <c r="M26" s="42" t="str">
        <f>IF(Inputs!E49="","",Inputs!E49)</f>
        <v/>
      </c>
      <c r="N26">
        <f t="shared" si="12"/>
        <v>20</v>
      </c>
      <c r="O26">
        <f t="shared" si="6"/>
        <v>30</v>
      </c>
      <c r="P26" s="43">
        <f t="shared" si="7"/>
        <v>3.4340000000000002E-2</v>
      </c>
      <c r="Q26" s="44">
        <f>(1-P26*Inputs!$C$16*R25)/(1+P26*Inputs!$C$16)</f>
        <v>0.47775431444180178</v>
      </c>
      <c r="R26" s="45">
        <f t="shared" si="13"/>
        <v>15.208086358712816</v>
      </c>
      <c r="S26" t="str">
        <f t="shared" si="8"/>
        <v>interpolated</v>
      </c>
      <c r="U26">
        <v>21</v>
      </c>
      <c r="V26">
        <f t="shared" si="9"/>
        <v>10.5</v>
      </c>
      <c r="W26" s="44">
        <f>SQRT(INDEX($Q$5:$Q$34,10)*INDEX($Q$5:$Q$34,11))</f>
        <v>0.69827814352632156</v>
      </c>
      <c r="X26" s="44">
        <f t="shared" si="14"/>
        <v>1.771914540792352E-2</v>
      </c>
      <c r="Y26" s="45">
        <f t="shared" si="15"/>
        <v>17.519777462764747</v>
      </c>
      <c r="Z26" s="43">
        <f t="shared" si="16"/>
        <v>3.4443571799349162E-2</v>
      </c>
    </row>
    <row r="27" spans="1:26" x14ac:dyDescent="0.2">
      <c r="A27">
        <v>23</v>
      </c>
      <c r="B27" s="46" t="str">
        <f>IF(Inputs!C50="","",Inputs!C50)</f>
        <v/>
      </c>
      <c r="C27">
        <f t="shared" si="10"/>
        <v>20</v>
      </c>
      <c r="D27">
        <f t="shared" si="0"/>
        <v>25</v>
      </c>
      <c r="E27" s="41">
        <f t="shared" si="1"/>
        <v>84.6</v>
      </c>
      <c r="F27" t="str">
        <f t="shared" si="2"/>
        <v>interpolated</v>
      </c>
      <c r="G27" s="42" t="str">
        <f>IF(Inputs!D50="","",Inputs!D50)</f>
        <v/>
      </c>
      <c r="H27">
        <f t="shared" si="11"/>
        <v>20</v>
      </c>
      <c r="I27">
        <f t="shared" si="3"/>
        <v>25</v>
      </c>
      <c r="J27" s="43">
        <f t="shared" si="4"/>
        <v>4.3490000000000001E-2</v>
      </c>
      <c r="K27" s="43">
        <f>2*((1+J27/Inputs!$C$18)^(Inputs!$C$18/2)-1)</f>
        <v>4.3027165751841068E-2</v>
      </c>
      <c r="L27" t="str">
        <f t="shared" si="5"/>
        <v>interpolated</v>
      </c>
      <c r="M27" s="42" t="str">
        <f>IF(Inputs!E50="","",Inputs!E50)</f>
        <v/>
      </c>
      <c r="N27">
        <f t="shared" si="12"/>
        <v>20</v>
      </c>
      <c r="O27">
        <f t="shared" si="6"/>
        <v>30</v>
      </c>
      <c r="P27" s="43">
        <f t="shared" si="7"/>
        <v>3.4160000000000003E-2</v>
      </c>
      <c r="Q27" s="44">
        <f>(1-P27*Inputs!$C$16*R26)/(1+P27*Inputs!$C$16)</f>
        <v>0.46462033919932144</v>
      </c>
      <c r="R27" s="45">
        <f t="shared" si="13"/>
        <v>15.672706697912137</v>
      </c>
      <c r="S27" t="str">
        <f t="shared" si="8"/>
        <v>interpolated</v>
      </c>
      <c r="U27">
        <v>22</v>
      </c>
      <c r="V27">
        <f t="shared" si="9"/>
        <v>11</v>
      </c>
      <c r="W27" s="44">
        <f>INDEX($Q$5:$Q$34,11)</f>
        <v>0.68612067157922718</v>
      </c>
      <c r="X27" s="44">
        <f t="shared" si="14"/>
        <v>1.7719145407923298E-2</v>
      </c>
      <c r="Y27" s="45">
        <f t="shared" si="15"/>
        <v>18.205898134343975</v>
      </c>
      <c r="Z27" s="43">
        <f t="shared" si="16"/>
        <v>3.4481059501114589E-2</v>
      </c>
    </row>
    <row r="28" spans="1:26" x14ac:dyDescent="0.2">
      <c r="A28">
        <v>24</v>
      </c>
      <c r="B28" s="46" t="str">
        <f>IF(Inputs!C51="","",Inputs!C51)</f>
        <v/>
      </c>
      <c r="C28">
        <f t="shared" si="10"/>
        <v>20</v>
      </c>
      <c r="D28">
        <f t="shared" si="0"/>
        <v>25</v>
      </c>
      <c r="E28" s="41">
        <f t="shared" si="1"/>
        <v>86.8</v>
      </c>
      <c r="F28" t="str">
        <f t="shared" si="2"/>
        <v>interpolated</v>
      </c>
      <c r="G28" s="42" t="str">
        <f>IF(Inputs!D51="","",Inputs!D51)</f>
        <v/>
      </c>
      <c r="H28">
        <f t="shared" si="11"/>
        <v>20</v>
      </c>
      <c r="I28">
        <f t="shared" si="3"/>
        <v>25</v>
      </c>
      <c r="J28" s="43">
        <f t="shared" si="4"/>
        <v>4.3490000000000001E-2</v>
      </c>
      <c r="K28" s="43">
        <f>2*((1+J28/Inputs!$C$18)^(Inputs!$C$18/2)-1)</f>
        <v>4.3027165751841068E-2</v>
      </c>
      <c r="L28" t="str">
        <f t="shared" si="5"/>
        <v>interpolated</v>
      </c>
      <c r="M28" s="42" t="str">
        <f>IF(Inputs!E51="","",Inputs!E51)</f>
        <v/>
      </c>
      <c r="N28">
        <f t="shared" si="12"/>
        <v>20</v>
      </c>
      <c r="O28">
        <f t="shared" si="6"/>
        <v>30</v>
      </c>
      <c r="P28" s="43">
        <f t="shared" si="7"/>
        <v>3.3980000000000003E-2</v>
      </c>
      <c r="Q28" s="44">
        <f>(1-P28*Inputs!$C$16*R27)/(1+P28*Inputs!$C$16)</f>
        <v>0.4520797562863359</v>
      </c>
      <c r="R28" s="45">
        <f t="shared" si="13"/>
        <v>16.124786454198471</v>
      </c>
      <c r="S28" t="str">
        <f t="shared" si="8"/>
        <v>interpolated</v>
      </c>
      <c r="U28">
        <v>23</v>
      </c>
      <c r="V28">
        <f t="shared" si="9"/>
        <v>11.5</v>
      </c>
      <c r="W28" s="44">
        <f>SQRT(INDEX($Q$5:$Q$34,11)*INDEX($Q$5:$Q$34,12))</f>
        <v>0.67411049452692384</v>
      </c>
      <c r="X28" s="44">
        <f t="shared" si="14"/>
        <v>1.7816333004475604E-2</v>
      </c>
      <c r="Y28" s="45">
        <f t="shared" si="15"/>
        <v>18.8800086288709</v>
      </c>
      <c r="Z28" s="43">
        <f t="shared" si="16"/>
        <v>3.4522177598450138E-2</v>
      </c>
    </row>
    <row r="29" spans="1:26" x14ac:dyDescent="0.2">
      <c r="A29">
        <v>25</v>
      </c>
      <c r="B29" s="46">
        <f>IF(Inputs!C52="","",Inputs!C52)</f>
        <v>89</v>
      </c>
      <c r="C29">
        <f t="shared" si="10"/>
        <v>25</v>
      </c>
      <c r="D29">
        <f t="shared" si="0"/>
        <v>25</v>
      </c>
      <c r="E29" s="41">
        <f t="shared" si="1"/>
        <v>89</v>
      </c>
      <c r="F29" t="str">
        <f t="shared" si="2"/>
        <v>quoted</v>
      </c>
      <c r="G29" s="42">
        <f>IF(Inputs!D52="","",Inputs!D52)</f>
        <v>4.3490000000000001E-2</v>
      </c>
      <c r="H29">
        <f t="shared" si="11"/>
        <v>25</v>
      </c>
      <c r="I29">
        <f t="shared" si="3"/>
        <v>25</v>
      </c>
      <c r="J29" s="43">
        <f t="shared" si="4"/>
        <v>4.3490000000000001E-2</v>
      </c>
      <c r="K29" s="43">
        <f>2*((1+J29/Inputs!$C$18)^(Inputs!$C$18/2)-1)</f>
        <v>4.3027165751841068E-2</v>
      </c>
      <c r="L29" t="str">
        <f t="shared" si="5"/>
        <v>quoted</v>
      </c>
      <c r="M29" s="42" t="str">
        <f>IF(Inputs!E52="","",Inputs!E52)</f>
        <v/>
      </c>
      <c r="N29">
        <f t="shared" si="12"/>
        <v>20</v>
      </c>
      <c r="O29">
        <f t="shared" si="6"/>
        <v>30</v>
      </c>
      <c r="P29" s="43">
        <f t="shared" si="7"/>
        <v>3.3799999999999997E-2</v>
      </c>
      <c r="Q29" s="44">
        <f>(1-P29*Inputs!$C$16*R28)/(1+P29*Inputs!$C$16)</f>
        <v>0.44010661428525022</v>
      </c>
      <c r="R29" s="45">
        <f t="shared" si="13"/>
        <v>16.56489306848372</v>
      </c>
      <c r="S29" t="str">
        <f t="shared" si="8"/>
        <v>interpolated</v>
      </c>
      <c r="U29">
        <v>24</v>
      </c>
      <c r="V29">
        <f t="shared" si="9"/>
        <v>12</v>
      </c>
      <c r="W29" s="44">
        <f>INDEX($Q$5:$Q$34,12)</f>
        <v>0.66231054922947452</v>
      </c>
      <c r="X29" s="44">
        <f t="shared" si="14"/>
        <v>1.7816333004475382E-2</v>
      </c>
      <c r="Y29" s="45">
        <f t="shared" si="15"/>
        <v>19.542319178100374</v>
      </c>
      <c r="Z29" s="43">
        <f t="shared" si="16"/>
        <v>3.4559813264021293E-2</v>
      </c>
    </row>
    <row r="30" spans="1:26" x14ac:dyDescent="0.2">
      <c r="A30">
        <v>26</v>
      </c>
      <c r="B30" s="46" t="str">
        <f>IF(Inputs!C53="","",Inputs!C53)</f>
        <v/>
      </c>
      <c r="C30">
        <f t="shared" si="10"/>
        <v>25</v>
      </c>
      <c r="D30">
        <f t="shared" si="0"/>
        <v>28</v>
      </c>
      <c r="E30" s="41">
        <f t="shared" si="1"/>
        <v>90</v>
      </c>
      <c r="F30" t="str">
        <f t="shared" si="2"/>
        <v>interpolated</v>
      </c>
      <c r="G30" s="42" t="str">
        <f>IF(Inputs!D53="","",Inputs!D53)</f>
        <v/>
      </c>
      <c r="H30">
        <f t="shared" si="11"/>
        <v>25</v>
      </c>
      <c r="I30">
        <f t="shared" si="3"/>
        <v>28</v>
      </c>
      <c r="J30" s="43">
        <f t="shared" si="4"/>
        <v>4.3580000000000001E-2</v>
      </c>
      <c r="K30" s="43">
        <f>2*((1+J30/Inputs!$C$18)^(Inputs!$C$18/2)-1)</f>
        <v>4.3115268407536433E-2</v>
      </c>
      <c r="L30" t="str">
        <f t="shared" si="5"/>
        <v>interpolated</v>
      </c>
      <c r="M30" s="42" t="str">
        <f>IF(Inputs!E53="","",Inputs!E53)</f>
        <v/>
      </c>
      <c r="N30">
        <f t="shared" si="12"/>
        <v>20</v>
      </c>
      <c r="O30">
        <f t="shared" si="6"/>
        <v>30</v>
      </c>
      <c r="P30" s="43">
        <f t="shared" si="7"/>
        <v>3.3619999999999997E-2</v>
      </c>
      <c r="Q30" s="44">
        <f>(1-P30*Inputs!$C$16*R29)/(1+P30*Inputs!$C$16)</f>
        <v>0.42867620115475458</v>
      </c>
      <c r="R30" s="45">
        <f t="shared" si="13"/>
        <v>16.993569269638474</v>
      </c>
      <c r="S30" t="str">
        <f t="shared" si="8"/>
        <v>interpolated</v>
      </c>
      <c r="U30">
        <v>25</v>
      </c>
      <c r="V30">
        <f t="shared" si="9"/>
        <v>12.5</v>
      </c>
      <c r="W30" s="44">
        <f>SQRT(INDEX($Q$5:$Q$34,12)*INDEX($Q$5:$Q$34,13))</f>
        <v>0.65065362861681397</v>
      </c>
      <c r="X30" s="44">
        <f t="shared" si="14"/>
        <v>1.7915708296964761E-2</v>
      </c>
      <c r="Y30" s="45">
        <f t="shared" si="15"/>
        <v>20.19297280671719</v>
      </c>
      <c r="Z30" s="43">
        <f t="shared" si="16"/>
        <v>3.4600786593143529E-2</v>
      </c>
    </row>
    <row r="31" spans="1:26" x14ac:dyDescent="0.2">
      <c r="A31">
        <v>27</v>
      </c>
      <c r="B31" s="46" t="str">
        <f>IF(Inputs!C54="","",Inputs!C54)</f>
        <v/>
      </c>
      <c r="C31">
        <f t="shared" si="10"/>
        <v>25</v>
      </c>
      <c r="D31">
        <f t="shared" si="0"/>
        <v>28</v>
      </c>
      <c r="E31" s="41">
        <f t="shared" si="1"/>
        <v>91</v>
      </c>
      <c r="F31" t="str">
        <f t="shared" si="2"/>
        <v>interpolated</v>
      </c>
      <c r="G31" s="42" t="str">
        <f>IF(Inputs!D54="","",Inputs!D54)</f>
        <v/>
      </c>
      <c r="H31">
        <f t="shared" si="11"/>
        <v>25</v>
      </c>
      <c r="I31">
        <f t="shared" si="3"/>
        <v>28</v>
      </c>
      <c r="J31" s="43">
        <f t="shared" si="4"/>
        <v>4.367E-2</v>
      </c>
      <c r="K31" s="43">
        <f>2*((1+J31/Inputs!$C$18)^(Inputs!$C$18/2)-1)</f>
        <v>4.3203367264257331E-2</v>
      </c>
      <c r="L31" t="str">
        <f t="shared" si="5"/>
        <v>interpolated</v>
      </c>
      <c r="M31" s="42" t="str">
        <f>IF(Inputs!E54="","",Inputs!E54)</f>
        <v/>
      </c>
      <c r="N31">
        <f t="shared" si="12"/>
        <v>20</v>
      </c>
      <c r="O31">
        <f t="shared" si="6"/>
        <v>30</v>
      </c>
      <c r="P31" s="43">
        <f t="shared" si="7"/>
        <v>3.3439999999999998E-2</v>
      </c>
      <c r="Q31" s="44">
        <f>(1-P31*Inputs!$C$16*R30)/(1+P31*Inputs!$C$16)</f>
        <v>0.41776498260497907</v>
      </c>
      <c r="R31" s="45">
        <f t="shared" si="13"/>
        <v>17.411334252243453</v>
      </c>
      <c r="S31" t="str">
        <f t="shared" si="8"/>
        <v>interpolated</v>
      </c>
      <c r="U31">
        <v>26</v>
      </c>
      <c r="V31">
        <f t="shared" si="9"/>
        <v>13</v>
      </c>
      <c r="W31" s="44">
        <f>INDEX($Q$5:$Q$34,13)</f>
        <v>0.63920187429408781</v>
      </c>
      <c r="X31" s="44">
        <f t="shared" si="14"/>
        <v>1.7915708296964983E-2</v>
      </c>
      <c r="Y31" s="45">
        <f t="shared" si="15"/>
        <v>20.832174681011278</v>
      </c>
      <c r="Z31" s="43">
        <f t="shared" si="16"/>
        <v>3.4638546501319714E-2</v>
      </c>
    </row>
    <row r="32" spans="1:26" x14ac:dyDescent="0.2">
      <c r="A32">
        <v>28</v>
      </c>
      <c r="B32" s="46">
        <f>IF(Inputs!C55="","",Inputs!C55)</f>
        <v>92</v>
      </c>
      <c r="C32">
        <f t="shared" si="10"/>
        <v>28</v>
      </c>
      <c r="D32">
        <f t="shared" si="0"/>
        <v>28</v>
      </c>
      <c r="E32" s="41">
        <f t="shared" si="1"/>
        <v>92</v>
      </c>
      <c r="F32" t="str">
        <f t="shared" si="2"/>
        <v>quoted</v>
      </c>
      <c r="G32" s="42">
        <f>IF(Inputs!D55="","",Inputs!D55)</f>
        <v>4.376E-2</v>
      </c>
      <c r="H32">
        <f t="shared" si="11"/>
        <v>28</v>
      </c>
      <c r="I32">
        <f t="shared" si="3"/>
        <v>28</v>
      </c>
      <c r="J32" s="43">
        <f t="shared" si="4"/>
        <v>4.376E-2</v>
      </c>
      <c r="K32" s="43">
        <f>2*((1+J32/Inputs!$C$18)^(Inputs!$C$18/2)-1)</f>
        <v>4.3291462322494922E-2</v>
      </c>
      <c r="L32" t="str">
        <f t="shared" si="5"/>
        <v>quoted</v>
      </c>
      <c r="M32" s="42" t="str">
        <f>IF(Inputs!E55="","",Inputs!E55)</f>
        <v/>
      </c>
      <c r="N32">
        <f t="shared" si="12"/>
        <v>20</v>
      </c>
      <c r="O32">
        <f t="shared" si="6"/>
        <v>30</v>
      </c>
      <c r="P32" s="43">
        <f t="shared" si="7"/>
        <v>3.3259999999999998E-2</v>
      </c>
      <c r="Q32" s="44">
        <f>(1-P32*Inputs!$C$16*R31)/(1+P32*Inputs!$C$16)</f>
        <v>0.4073505436873418</v>
      </c>
      <c r="R32" s="45">
        <f t="shared" si="13"/>
        <v>17.818684795930796</v>
      </c>
      <c r="S32" t="str">
        <f t="shared" si="8"/>
        <v>interpolated</v>
      </c>
      <c r="U32">
        <v>27</v>
      </c>
      <c r="V32">
        <f t="shared" si="9"/>
        <v>13.5</v>
      </c>
      <c r="W32" s="44">
        <f>SQRT(INDEX($Q$5:$Q$34,13)*INDEX($Q$5:$Q$34,14))</f>
        <v>0.62788896221153712</v>
      </c>
      <c r="X32" s="44">
        <f t="shared" si="14"/>
        <v>1.8017376898463944E-2</v>
      </c>
      <c r="Y32" s="45">
        <f t="shared" si="15"/>
        <v>21.460063643222814</v>
      </c>
      <c r="Z32" s="43">
        <f t="shared" si="16"/>
        <v>3.4679397412316369E-2</v>
      </c>
    </row>
    <row r="33" spans="1:26" x14ac:dyDescent="0.2">
      <c r="A33">
        <v>29</v>
      </c>
      <c r="B33" s="46" t="str">
        <f>IF(Inputs!C56="","",Inputs!C56)</f>
        <v/>
      </c>
      <c r="C33">
        <f t="shared" si="10"/>
        <v>28</v>
      </c>
      <c r="D33">
        <f t="shared" si="0"/>
        <v>0</v>
      </c>
      <c r="E33" s="41">
        <f t="shared" si="1"/>
        <v>92</v>
      </c>
      <c r="F33" t="str">
        <f t="shared" si="2"/>
        <v>flat extrapolation</v>
      </c>
      <c r="G33" s="42" t="str">
        <f>IF(Inputs!D56="","",Inputs!D56)</f>
        <v/>
      </c>
      <c r="H33">
        <f t="shared" si="11"/>
        <v>28</v>
      </c>
      <c r="I33">
        <f t="shared" si="3"/>
        <v>0</v>
      </c>
      <c r="J33" s="43">
        <f t="shared" si="4"/>
        <v>4.376E-2</v>
      </c>
      <c r="K33" s="43">
        <f>2*((1+J33/Inputs!$C$18)^(Inputs!$C$18/2)-1)</f>
        <v>4.3291462322494922E-2</v>
      </c>
      <c r="L33" t="str">
        <f t="shared" si="5"/>
        <v>flat extrapolation</v>
      </c>
      <c r="M33" s="42" t="str">
        <f>IF(Inputs!E56="","",Inputs!E56)</f>
        <v/>
      </c>
      <c r="N33">
        <f t="shared" si="12"/>
        <v>20</v>
      </c>
      <c r="O33">
        <f t="shared" si="6"/>
        <v>30</v>
      </c>
      <c r="P33" s="43">
        <f t="shared" si="7"/>
        <v>3.3079999999999998E-2</v>
      </c>
      <c r="Q33" s="44">
        <f>(1-P33*Inputs!$C$16*R32)/(1+P33*Inputs!$C$16)</f>
        <v>0.3974115334249132</v>
      </c>
      <c r="R33" s="45">
        <f t="shared" si="13"/>
        <v>18.216096329355711</v>
      </c>
      <c r="S33" t="str">
        <f t="shared" si="8"/>
        <v>interpolated</v>
      </c>
      <c r="U33">
        <v>28</v>
      </c>
      <c r="V33">
        <f t="shared" si="9"/>
        <v>14</v>
      </c>
      <c r="W33" s="44">
        <f>INDEX($Q$5:$Q$34,14)</f>
        <v>0.61677627166295612</v>
      </c>
      <c r="X33" s="44">
        <f t="shared" si="14"/>
        <v>1.8017376898464166E-2</v>
      </c>
      <c r="Y33" s="45">
        <f t="shared" si="15"/>
        <v>22.07683991488577</v>
      </c>
      <c r="Z33" s="43">
        <f t="shared" si="16"/>
        <v>3.4717262961049718E-2</v>
      </c>
    </row>
    <row r="34" spans="1:26" x14ac:dyDescent="0.2">
      <c r="A34">
        <v>30</v>
      </c>
      <c r="B34" s="46" t="str">
        <f>IF(Inputs!C57="","",Inputs!C57)</f>
        <v/>
      </c>
      <c r="C34">
        <f t="shared" si="10"/>
        <v>28</v>
      </c>
      <c r="D34">
        <f>IF(B34&lt;&gt;"",A34,0)</f>
        <v>0</v>
      </c>
      <c r="E34" s="41">
        <f t="shared" si="1"/>
        <v>92</v>
      </c>
      <c r="F34" t="str">
        <f t="shared" si="2"/>
        <v>flat extrapolation</v>
      </c>
      <c r="G34" s="42" t="str">
        <f>IF(Inputs!D57="","",Inputs!D57)</f>
        <v/>
      </c>
      <c r="H34">
        <f t="shared" si="11"/>
        <v>28</v>
      </c>
      <c r="I34">
        <f>IF(G34&lt;&gt;"",A34,0)</f>
        <v>0</v>
      </c>
      <c r="J34" s="43">
        <f t="shared" si="4"/>
        <v>4.376E-2</v>
      </c>
      <c r="K34" s="43">
        <f>2*((1+J34/Inputs!$C$18)^(Inputs!$C$18/2)-1)</f>
        <v>4.3291462322494922E-2</v>
      </c>
      <c r="L34" t="str">
        <f t="shared" si="5"/>
        <v>flat extrapolation</v>
      </c>
      <c r="M34" s="42">
        <f>IF(Inputs!E57="","",Inputs!E57)</f>
        <v>3.2899999999999999E-2</v>
      </c>
      <c r="N34">
        <f t="shared" si="12"/>
        <v>30</v>
      </c>
      <c r="O34">
        <f>IF(M34&lt;&gt;"",A34,0)</f>
        <v>30</v>
      </c>
      <c r="P34" s="43">
        <f t="shared" si="7"/>
        <v>3.2899999999999999E-2</v>
      </c>
      <c r="Q34" s="44">
        <f>(1-P34*Inputs!$C$16*R33)/(1+P34*Inputs!$C$16)</f>
        <v>0.3879276123189051</v>
      </c>
      <c r="R34" s="45">
        <f t="shared" si="13"/>
        <v>18.604023941674615</v>
      </c>
      <c r="S34" t="str">
        <f t="shared" si="8"/>
        <v>quoted</v>
      </c>
      <c r="U34">
        <v>29</v>
      </c>
      <c r="V34">
        <f t="shared" si="9"/>
        <v>14.5</v>
      </c>
      <c r="W34" s="44">
        <f>SQRT(INDEX($Q$5:$Q$34,14)*INDEX($Q$5:$Q$34,15))</f>
        <v>0.60579832719180127</v>
      </c>
      <c r="X34" s="44">
        <f t="shared" si="14"/>
        <v>1.8121450618794999E-2</v>
      </c>
      <c r="Y34" s="45">
        <f t="shared" si="15"/>
        <v>22.682638242077573</v>
      </c>
      <c r="Z34" s="43">
        <f t="shared" si="16"/>
        <v>3.4758009064124858E-2</v>
      </c>
    </row>
    <row r="35" spans="1:26" x14ac:dyDescent="0.2">
      <c r="U35">
        <v>30</v>
      </c>
      <c r="V35">
        <f t="shared" si="9"/>
        <v>15</v>
      </c>
      <c r="W35" s="44">
        <f>INDEX($Q$5:$Q$34,15)</f>
        <v>0.59501577815064066</v>
      </c>
      <c r="X35" s="44">
        <f t="shared" si="14"/>
        <v>1.8121450618794777E-2</v>
      </c>
      <c r="Y35" s="45">
        <f t="shared" si="15"/>
        <v>23.277654020228212</v>
      </c>
      <c r="Z35" s="43">
        <f t="shared" si="16"/>
        <v>3.4795965392167894E-2</v>
      </c>
    </row>
    <row r="36" spans="1:26" x14ac:dyDescent="0.2">
      <c r="U36">
        <v>31</v>
      </c>
      <c r="V36">
        <f t="shared" si="9"/>
        <v>15.5</v>
      </c>
      <c r="W36" s="44">
        <f>SQRT(INDEX($Q$5:$Q$34,15)*INDEX($Q$5:$Q$34,16))</f>
        <v>0.58531642070406809</v>
      </c>
      <c r="X36" s="44">
        <f t="shared" si="14"/>
        <v>1.6571135036507867E-2</v>
      </c>
      <c r="Y36" s="45">
        <f t="shared" si="15"/>
        <v>23.86297044093228</v>
      </c>
      <c r="Z36" s="43">
        <f t="shared" si="16"/>
        <v>3.475540317349788E-2</v>
      </c>
    </row>
    <row r="37" spans="1:26" x14ac:dyDescent="0.2">
      <c r="A37" t="s">
        <v>246</v>
      </c>
      <c r="E37">
        <f>C34</f>
        <v>28</v>
      </c>
      <c r="U37">
        <v>32</v>
      </c>
      <c r="V37">
        <f t="shared" ref="V37:V68" si="17">U37/2</f>
        <v>16</v>
      </c>
      <c r="W37" s="44">
        <f>INDEX($Q$5:$Q$34,16)</f>
        <v>0.57577517256876254</v>
      </c>
      <c r="X37" s="44">
        <f t="shared" si="14"/>
        <v>1.6571135036507867E-2</v>
      </c>
      <c r="Y37" s="45">
        <f t="shared" si="15"/>
        <v>24.438745613501041</v>
      </c>
      <c r="Z37" s="43">
        <f t="shared" si="16"/>
        <v>3.47173978681522E-2</v>
      </c>
    </row>
    <row r="38" spans="1:26" x14ac:dyDescent="0.2">
      <c r="A38" t="s">
        <v>247</v>
      </c>
      <c r="E38">
        <f>H34</f>
        <v>28</v>
      </c>
      <c r="U38">
        <v>33</v>
      </c>
      <c r="V38">
        <f t="shared" si="17"/>
        <v>16.5</v>
      </c>
      <c r="W38" s="44">
        <f>SQRT(INDEX($Q$5:$Q$34,16)*INDEX($Q$5:$Q$34,17))</f>
        <v>0.5664486252481592</v>
      </c>
      <c r="X38" s="44">
        <f t="shared" ref="X38:X69" si="18">W37/W38-1</f>
        <v>1.6464948284617087E-2</v>
      </c>
      <c r="Y38" s="45">
        <f t="shared" ref="Y38:Y65" si="19">Y37+W38</f>
        <v>25.005194238749201</v>
      </c>
      <c r="Z38" s="43">
        <f t="shared" ref="Z38:Z69" si="20">(1-W38)/(0.5*Y38)</f>
        <v>3.4676905175164738E-2</v>
      </c>
    </row>
    <row r="39" spans="1:26" x14ac:dyDescent="0.2">
      <c r="A39" t="s">
        <v>248</v>
      </c>
      <c r="E39">
        <f>N34</f>
        <v>30</v>
      </c>
      <c r="U39">
        <v>34</v>
      </c>
      <c r="V39">
        <f t="shared" si="17"/>
        <v>17</v>
      </c>
      <c r="W39" s="44">
        <f>INDEX($Q$5:$Q$34,17)</f>
        <v>0.55727315162622781</v>
      </c>
      <c r="X39" s="44">
        <f t="shared" si="18"/>
        <v>1.6464948284617087E-2</v>
      </c>
      <c r="Y39" s="45">
        <f t="shared" si="19"/>
        <v>25.562467390375428</v>
      </c>
      <c r="Z39" s="43">
        <f t="shared" si="20"/>
        <v>3.4638819611010174E-2</v>
      </c>
    </row>
    <row r="40" spans="1:26" x14ac:dyDescent="0.2">
      <c r="A40" t="s">
        <v>249</v>
      </c>
      <c r="E40">
        <f>COUNT(B5:B34)</f>
        <v>17</v>
      </c>
      <c r="U40">
        <v>35</v>
      </c>
      <c r="V40">
        <f t="shared" si="17"/>
        <v>17.5</v>
      </c>
      <c r="W40" s="44">
        <f>SQRT(INDEX($Q$5:$Q$34,17)*INDEX($Q$5:$Q$34,18))</f>
        <v>0.5483046811466884</v>
      </c>
      <c r="X40" s="44">
        <f t="shared" si="18"/>
        <v>1.6356727906796875E-2</v>
      </c>
      <c r="Y40" s="45">
        <f t="shared" si="19"/>
        <v>26.110772071522117</v>
      </c>
      <c r="Z40" s="43">
        <f t="shared" si="20"/>
        <v>3.4598388559023578E-2</v>
      </c>
    </row>
    <row r="41" spans="1:26" x14ac:dyDescent="0.2">
      <c r="A41" t="s">
        <v>250</v>
      </c>
      <c r="E41">
        <f>COUNT(G5:G34)</f>
        <v>17</v>
      </c>
      <c r="U41">
        <v>36</v>
      </c>
      <c r="V41">
        <f t="shared" si="17"/>
        <v>18</v>
      </c>
      <c r="W41" s="44">
        <f>INDEX($Q$5:$Q$34,18)</f>
        <v>0.5394805446665667</v>
      </c>
      <c r="X41" s="44">
        <f t="shared" si="18"/>
        <v>1.6356727906797097E-2</v>
      </c>
      <c r="Y41" s="45">
        <f t="shared" si="19"/>
        <v>26.650252616188684</v>
      </c>
      <c r="Z41" s="43">
        <f t="shared" si="20"/>
        <v>3.4560231902168982E-2</v>
      </c>
    </row>
    <row r="42" spans="1:26" x14ac:dyDescent="0.2">
      <c r="A42" t="s">
        <v>251</v>
      </c>
      <c r="E42">
        <f>COUNT(M5:M34)</f>
        <v>12</v>
      </c>
      <c r="U42">
        <v>37</v>
      </c>
      <c r="V42">
        <f t="shared" si="17"/>
        <v>18.5</v>
      </c>
      <c r="W42" s="44">
        <f>SQRT(INDEX($Q$5:$Q$34,18)*INDEX($Q$5:$Q$34,19))</f>
        <v>0.53085602389852615</v>
      </c>
      <c r="X42" s="44">
        <f t="shared" si="18"/>
        <v>1.6246440427864828E-2</v>
      </c>
      <c r="Y42" s="45">
        <f t="shared" si="19"/>
        <v>27.18110864008721</v>
      </c>
      <c r="Z42" s="43">
        <f t="shared" si="20"/>
        <v>3.4519855853824263E-2</v>
      </c>
    </row>
    <row r="43" spans="1:26" x14ac:dyDescent="0.2">
      <c r="A43" t="s">
        <v>252</v>
      </c>
      <c r="E43">
        <f>IF(SUMPRODUCT((E6:E34&lt;E5:E33)*1)&gt;0,1,0)</f>
        <v>0</v>
      </c>
      <c r="U43">
        <v>38</v>
      </c>
      <c r="V43">
        <f t="shared" si="17"/>
        <v>19</v>
      </c>
      <c r="W43" s="44">
        <f>INDEX($Q$5:$Q$34,19)</f>
        <v>0.52236938087086693</v>
      </c>
      <c r="X43" s="44">
        <f t="shared" si="18"/>
        <v>1.6246440427864828E-2</v>
      </c>
      <c r="Y43" s="45">
        <f t="shared" si="19"/>
        <v>27.703478020958077</v>
      </c>
      <c r="Z43" s="43">
        <f t="shared" si="20"/>
        <v>3.4481635754745214E-2</v>
      </c>
    </row>
    <row r="44" spans="1:26" x14ac:dyDescent="0.2">
      <c r="A44" t="s">
        <v>253</v>
      </c>
      <c r="E44">
        <f>IF(SUMPRODUCT((J6:J34&lt;J5:J33)*1)&gt;0,1,0)</f>
        <v>0</v>
      </c>
      <c r="U44">
        <v>39</v>
      </c>
      <c r="V44">
        <f t="shared" si="17"/>
        <v>19.5</v>
      </c>
      <c r="W44" s="44">
        <f>SQRT(INDEX($Q$5:$Q$34,19)*INDEX($Q$5:$Q$34,20))</f>
        <v>0.51407526303896667</v>
      </c>
      <c r="X44" s="44">
        <f t="shared" si="18"/>
        <v>1.6134053568089168E-2</v>
      </c>
      <c r="Y44" s="45">
        <f t="shared" si="19"/>
        <v>28.217553283997042</v>
      </c>
      <c r="Z44" s="43">
        <f t="shared" si="20"/>
        <v>3.4441309072435755E-2</v>
      </c>
    </row>
    <row r="45" spans="1:26" x14ac:dyDescent="0.2">
      <c r="U45">
        <v>40</v>
      </c>
      <c r="V45">
        <f t="shared" si="17"/>
        <v>20</v>
      </c>
      <c r="W45" s="44">
        <f>INDEX($Q$5:$Q$34,20)</f>
        <v>0.50591283820655797</v>
      </c>
      <c r="X45" s="44">
        <f t="shared" si="18"/>
        <v>1.613405356808939E-2</v>
      </c>
      <c r="Y45" s="45">
        <f t="shared" si="19"/>
        <v>28.7234661222036</v>
      </c>
      <c r="Z45" s="43">
        <f t="shared" si="20"/>
        <v>3.4403031980287817E-2</v>
      </c>
    </row>
    <row r="46" spans="1:26" x14ac:dyDescent="0.2">
      <c r="U46">
        <v>41</v>
      </c>
      <c r="V46">
        <f t="shared" si="17"/>
        <v>20.5</v>
      </c>
      <c r="W46" s="44">
        <f>SQRT(INDEX($Q$5:$Q$34,20)*INDEX($Q$5:$Q$34,21))</f>
        <v>0.49865888314794771</v>
      </c>
      <c r="X46" s="44">
        <f t="shared" si="18"/>
        <v>1.4546928378809332E-2</v>
      </c>
      <c r="Y46" s="45">
        <f t="shared" si="19"/>
        <v>29.222125005351547</v>
      </c>
      <c r="Z46" s="43">
        <f t="shared" si="20"/>
        <v>3.4312433935604611E-2</v>
      </c>
    </row>
    <row r="47" spans="1:26" x14ac:dyDescent="0.2">
      <c r="U47">
        <v>42</v>
      </c>
      <c r="V47">
        <f t="shared" si="17"/>
        <v>21</v>
      </c>
      <c r="W47" s="44">
        <f>INDEX($Q$5:$Q$34,21)</f>
        <v>0.49150893783176441</v>
      </c>
      <c r="X47" s="44">
        <f t="shared" si="18"/>
        <v>1.4546928378809332E-2</v>
      </c>
      <c r="Y47" s="45">
        <f t="shared" si="19"/>
        <v>29.713633943183311</v>
      </c>
      <c r="Z47" s="43">
        <f t="shared" si="20"/>
        <v>3.4226110689829642E-2</v>
      </c>
    </row>
    <row r="48" spans="1:26" x14ac:dyDescent="0.2">
      <c r="U48">
        <v>43</v>
      </c>
      <c r="V48">
        <f t="shared" si="17"/>
        <v>21.5</v>
      </c>
      <c r="W48" s="44">
        <f>SQRT(INDEX($Q$5:$Q$34,21)*INDEX($Q$5:$Q$34,22))</f>
        <v>0.48458282639382999</v>
      </c>
      <c r="X48" s="44">
        <f t="shared" si="18"/>
        <v>1.4292936234404197E-2</v>
      </c>
      <c r="Y48" s="45">
        <f t="shared" si="19"/>
        <v>30.19821676957714</v>
      </c>
      <c r="Z48" s="43">
        <f t="shared" si="20"/>
        <v>3.4135603273463572E-2</v>
      </c>
    </row>
    <row r="49" spans="21:26" x14ac:dyDescent="0.2">
      <c r="U49">
        <v>44</v>
      </c>
      <c r="V49">
        <f t="shared" si="17"/>
        <v>22</v>
      </c>
      <c r="W49" s="44">
        <f>INDEX($Q$5:$Q$34,22)</f>
        <v>0.47775431444180178</v>
      </c>
      <c r="X49" s="44">
        <f t="shared" si="18"/>
        <v>1.4292936234404197E-2</v>
      </c>
      <c r="Y49" s="45">
        <f t="shared" si="19"/>
        <v>30.675971084018943</v>
      </c>
      <c r="Z49" s="43">
        <f t="shared" si="20"/>
        <v>3.4049170546406542E-2</v>
      </c>
    </row>
    <row r="50" spans="21:26" x14ac:dyDescent="0.2">
      <c r="U50">
        <v>45</v>
      </c>
      <c r="V50">
        <f t="shared" si="17"/>
        <v>22.5</v>
      </c>
      <c r="W50" s="44">
        <f>SQRT(INDEX($Q$5:$Q$34,22)*INDEX($Q$5:$Q$34,23))</f>
        <v>0.47114156219748776</v>
      </c>
      <c r="X50" s="44">
        <f t="shared" si="18"/>
        <v>1.4035595190267092E-2</v>
      </c>
      <c r="Y50" s="45">
        <f t="shared" si="19"/>
        <v>31.147112646216431</v>
      </c>
      <c r="Z50" s="43">
        <f t="shared" si="20"/>
        <v>3.3958745634597685E-2</v>
      </c>
    </row>
    <row r="51" spans="21:26" x14ac:dyDescent="0.2">
      <c r="U51">
        <v>46</v>
      </c>
      <c r="V51">
        <f t="shared" si="17"/>
        <v>23</v>
      </c>
      <c r="W51" s="44">
        <f>INDEX($Q$5:$Q$34,23)</f>
        <v>0.46462033919932144</v>
      </c>
      <c r="X51" s="44">
        <f t="shared" si="18"/>
        <v>1.4035595190267314E-2</v>
      </c>
      <c r="Y51" s="45">
        <f t="shared" si="19"/>
        <v>31.611732985415752</v>
      </c>
      <c r="Z51" s="43">
        <f t="shared" si="20"/>
        <v>3.3872212007337837E-2</v>
      </c>
    </row>
    <row r="52" spans="21:26" x14ac:dyDescent="0.2">
      <c r="U52">
        <v>47</v>
      </c>
      <c r="V52">
        <f t="shared" si="17"/>
        <v>23.5</v>
      </c>
      <c r="W52" s="44">
        <f>SQRT(INDEX($Q$5:$Q$34,23)*INDEX($Q$5:$Q$34,24))</f>
        <v>0.45830715651286086</v>
      </c>
      <c r="X52" s="44">
        <f t="shared" si="18"/>
        <v>1.3775003503100347E-2</v>
      </c>
      <c r="Y52" s="45">
        <f t="shared" si="19"/>
        <v>32.070040141928615</v>
      </c>
      <c r="Z52" s="43">
        <f t="shared" si="20"/>
        <v>3.378186251653148E-2</v>
      </c>
    </row>
    <row r="53" spans="21:26" x14ac:dyDescent="0.2">
      <c r="U53">
        <v>48</v>
      </c>
      <c r="V53">
        <f t="shared" si="17"/>
        <v>24</v>
      </c>
      <c r="W53" s="44">
        <f>INDEX($Q$5:$Q$34,24)</f>
        <v>0.4520797562863359</v>
      </c>
      <c r="X53" s="44">
        <f t="shared" si="18"/>
        <v>1.3775003503100125E-2</v>
      </c>
      <c r="Y53" s="45">
        <f t="shared" si="19"/>
        <v>32.522119898214953</v>
      </c>
      <c r="Z53" s="43">
        <f t="shared" si="20"/>
        <v>3.3695235453808037E-2</v>
      </c>
    </row>
    <row r="54" spans="21:26" x14ac:dyDescent="0.2">
      <c r="U54">
        <v>49</v>
      </c>
      <c r="V54">
        <f t="shared" si="17"/>
        <v>24.5</v>
      </c>
      <c r="W54" s="44">
        <f>SQRT(INDEX($Q$5:$Q$34,24)*INDEX($Q$5:$Q$34,25))</f>
        <v>0.44605301358255656</v>
      </c>
      <c r="X54" s="44">
        <f t="shared" si="18"/>
        <v>1.351127000661756E-2</v>
      </c>
      <c r="Y54" s="45">
        <f t="shared" si="19"/>
        <v>32.96817291179751</v>
      </c>
      <c r="Z54" s="43">
        <f t="shared" si="20"/>
        <v>3.3604955172945969E-2</v>
      </c>
    </row>
    <row r="55" spans="21:26" x14ac:dyDescent="0.2">
      <c r="U55">
        <v>50</v>
      </c>
      <c r="V55">
        <f t="shared" si="17"/>
        <v>25</v>
      </c>
      <c r="W55" s="44">
        <f>INDEX($Q$5:$Q$34,25)</f>
        <v>0.44010661428525022</v>
      </c>
      <c r="X55" s="44">
        <f t="shared" si="18"/>
        <v>1.351127000661756E-2</v>
      </c>
      <c r="Y55" s="45">
        <f t="shared" si="19"/>
        <v>33.408279526082758</v>
      </c>
      <c r="Z55" s="43">
        <f t="shared" si="20"/>
        <v>3.3518241205903805E-2</v>
      </c>
    </row>
    <row r="56" spans="21:26" x14ac:dyDescent="0.2">
      <c r="U56">
        <v>51</v>
      </c>
      <c r="V56">
        <f t="shared" si="17"/>
        <v>25.5</v>
      </c>
      <c r="W56" s="44">
        <f>SQRT(INDEX($Q$5:$Q$34,25)*INDEX($Q$5:$Q$34,26))</f>
        <v>0.43435380914052302</v>
      </c>
      <c r="X56" s="44">
        <f t="shared" si="18"/>
        <v>1.3244514088895709E-2</v>
      </c>
      <c r="Y56" s="45">
        <f t="shared" si="19"/>
        <v>33.842633335223283</v>
      </c>
      <c r="Z56" s="43">
        <f t="shared" si="20"/>
        <v>3.342802466087972E-2</v>
      </c>
    </row>
    <row r="57" spans="21:26" x14ac:dyDescent="0.2">
      <c r="U57">
        <v>52</v>
      </c>
      <c r="V57">
        <f t="shared" si="17"/>
        <v>26</v>
      </c>
      <c r="W57" s="44">
        <f>INDEX($Q$5:$Q$34,26)</f>
        <v>0.42867620115475458</v>
      </c>
      <c r="X57" s="44">
        <f t="shared" si="18"/>
        <v>1.3244514088895709E-2</v>
      </c>
      <c r="Y57" s="45">
        <f t="shared" si="19"/>
        <v>34.271309536378041</v>
      </c>
      <c r="Z57" s="43">
        <f t="shared" si="20"/>
        <v>3.3341229534214388E-2</v>
      </c>
    </row>
    <row r="58" spans="21:26" x14ac:dyDescent="0.2">
      <c r="U58">
        <v>53</v>
      </c>
      <c r="V58">
        <f t="shared" si="17"/>
        <v>26.5</v>
      </c>
      <c r="W58" s="44">
        <f>SQRT(INDEX($Q$5:$Q$34,26)*INDEX($Q$5:$Q$34,27))</f>
        <v>0.42318542711036794</v>
      </c>
      <c r="X58" s="44">
        <f t="shared" si="18"/>
        <v>1.2974865608863739E-2</v>
      </c>
      <c r="Y58" s="45">
        <f t="shared" si="19"/>
        <v>34.69449496348841</v>
      </c>
      <c r="Z58" s="43">
        <f t="shared" si="20"/>
        <v>3.3251071877348659E-2</v>
      </c>
    </row>
    <row r="59" spans="21:26" x14ac:dyDescent="0.2">
      <c r="U59">
        <v>54</v>
      </c>
      <c r="V59">
        <f t="shared" si="17"/>
        <v>27</v>
      </c>
      <c r="W59" s="44">
        <f>INDEX($Q$5:$Q$34,27)</f>
        <v>0.41776498260497907</v>
      </c>
      <c r="X59" s="44">
        <f t="shared" si="18"/>
        <v>1.2974865608863739E-2</v>
      </c>
      <c r="Y59" s="45">
        <f t="shared" si="19"/>
        <v>35.112259946093388</v>
      </c>
      <c r="Z59" s="43">
        <f t="shared" si="20"/>
        <v>3.3164200668877812E-2</v>
      </c>
    </row>
    <row r="60" spans="21:26" x14ac:dyDescent="0.2">
      <c r="U60">
        <v>55</v>
      </c>
      <c r="V60">
        <f t="shared" si="17"/>
        <v>27.5</v>
      </c>
      <c r="W60" s="44">
        <f>SQRT(INDEX($Q$5:$Q$34,27)*INDEX($Q$5:$Q$34,28))</f>
        <v>0.41252489960930977</v>
      </c>
      <c r="X60" s="44">
        <f t="shared" si="18"/>
        <v>1.2702464749720699E-2</v>
      </c>
      <c r="Y60" s="45">
        <f t="shared" si="19"/>
        <v>35.524784845702698</v>
      </c>
      <c r="Z60" s="43">
        <f t="shared" si="20"/>
        <v>3.3074097588053644E-2</v>
      </c>
    </row>
    <row r="61" spans="21:26" x14ac:dyDescent="0.2">
      <c r="U61">
        <v>56</v>
      </c>
      <c r="V61">
        <f t="shared" si="17"/>
        <v>28</v>
      </c>
      <c r="W61" s="44">
        <f>INDEX($Q$5:$Q$34,28)</f>
        <v>0.4073505436873418</v>
      </c>
      <c r="X61" s="44">
        <f t="shared" si="18"/>
        <v>1.2702464749720477E-2</v>
      </c>
      <c r="Y61" s="45">
        <f t="shared" si="19"/>
        <v>35.932135389390041</v>
      </c>
      <c r="Z61" s="43">
        <f t="shared" si="20"/>
        <v>3.2987154806705665E-2</v>
      </c>
    </row>
    <row r="62" spans="21:26" x14ac:dyDescent="0.2">
      <c r="U62">
        <v>57</v>
      </c>
      <c r="V62">
        <f t="shared" si="17"/>
        <v>28.5</v>
      </c>
      <c r="W62" s="44">
        <f>SQRT(INDEX($Q$5:$Q$34,28)*INDEX($Q$5:$Q$34,29))</f>
        <v>0.4023503500784591</v>
      </c>
      <c r="X62" s="44">
        <f t="shared" si="18"/>
        <v>1.2427461807620332E-2</v>
      </c>
      <c r="Y62" s="45">
        <f t="shared" si="19"/>
        <v>36.334485739468498</v>
      </c>
      <c r="Z62" s="43">
        <f t="shared" si="20"/>
        <v>3.2897102450102453E-2</v>
      </c>
    </row>
    <row r="63" spans="21:26" x14ac:dyDescent="0.2">
      <c r="U63">
        <v>58</v>
      </c>
      <c r="V63">
        <f t="shared" si="17"/>
        <v>29</v>
      </c>
      <c r="W63" s="44">
        <f>INDEX($Q$5:$Q$34,29)</f>
        <v>0.3974115334249132</v>
      </c>
      <c r="X63" s="44">
        <f t="shared" si="18"/>
        <v>1.2427461807620332E-2</v>
      </c>
      <c r="Y63" s="45">
        <f t="shared" si="19"/>
        <v>36.731897272893413</v>
      </c>
      <c r="Z63" s="43">
        <f t="shared" si="20"/>
        <v>3.2810092116846448E-2</v>
      </c>
    </row>
    <row r="64" spans="21:26" x14ac:dyDescent="0.2">
      <c r="U64">
        <v>59</v>
      </c>
      <c r="V64">
        <f t="shared" si="17"/>
        <v>29.5</v>
      </c>
      <c r="W64" s="44">
        <f>SQRT(INDEX($Q$5:$Q$34,29)*INDEX($Q$5:$Q$34,30))</f>
        <v>0.3926409393702105</v>
      </c>
      <c r="X64" s="44">
        <f t="shared" si="18"/>
        <v>1.2150016914575179E-2</v>
      </c>
      <c r="Y64" s="45">
        <f t="shared" si="19"/>
        <v>37.124538212263623</v>
      </c>
      <c r="Z64" s="43">
        <f t="shared" si="20"/>
        <v>3.2720087030154957E-2</v>
      </c>
    </row>
    <row r="65" spans="21:26" x14ac:dyDescent="0.2">
      <c r="U65">
        <v>60</v>
      </c>
      <c r="V65">
        <f t="shared" si="17"/>
        <v>30</v>
      </c>
      <c r="W65" s="44">
        <f>INDEX($Q$5:$Q$34,30)</f>
        <v>0.3879276123189051</v>
      </c>
      <c r="X65" s="44">
        <f t="shared" si="18"/>
        <v>1.2150016914574957E-2</v>
      </c>
      <c r="Y65" s="45">
        <f t="shared" si="19"/>
        <v>37.512465824582527</v>
      </c>
      <c r="Z65" s="43">
        <f t="shared" si="20"/>
        <v>3.2633012745325526E-2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1"/>
  <sheetViews>
    <sheetView zoomScaleNormal="100" workbookViewId="0">
      <pane xSplit="2" ySplit="30" topLeftCell="C31" activePane="bottomRight" state="frozen"/>
      <selection pane="topRight" activeCell="C1" sqref="C1"/>
      <selection pane="bottomLeft" activeCell="A31" sqref="A31"/>
      <selection pane="bottomRight"/>
    </sheetView>
  </sheetViews>
  <sheetFormatPr baseColWidth="10" defaultColWidth="8.6640625" defaultRowHeight="15" x14ac:dyDescent="0.2"/>
  <cols>
    <col min="1" max="1" width="38" customWidth="1"/>
    <col min="2" max="3" width="13" customWidth="1"/>
    <col min="4" max="4" width="50" customWidth="1"/>
    <col min="5" max="5" width="16" customWidth="1"/>
    <col min="6" max="34" width="13" customWidth="1"/>
  </cols>
  <sheetData>
    <row r="1" spans="1:5" ht="18" x14ac:dyDescent="0.2">
      <c r="A1" s="5" t="s">
        <v>254</v>
      </c>
    </row>
    <row r="2" spans="1:5" x14ac:dyDescent="0.2">
      <c r="A2" s="6" t="s">
        <v>255</v>
      </c>
    </row>
    <row r="3" spans="1:5" x14ac:dyDescent="0.2">
      <c r="D3" s="23" t="s">
        <v>256</v>
      </c>
    </row>
    <row r="4" spans="1:5" x14ac:dyDescent="0.2">
      <c r="A4" t="s">
        <v>257</v>
      </c>
      <c r="B4" s="47">
        <f>Inputs!C13</f>
        <v>0.4</v>
      </c>
      <c r="D4" t="s">
        <v>258</v>
      </c>
      <c r="E4" s="48">
        <f>SUM($AD$32:$AD$91)</f>
        <v>12.5</v>
      </c>
    </row>
    <row r="5" spans="1:5" x14ac:dyDescent="0.2">
      <c r="A5" t="s">
        <v>259</v>
      </c>
      <c r="B5" s="49">
        <v>0.5</v>
      </c>
      <c r="D5" t="s">
        <v>260</v>
      </c>
      <c r="E5" s="50">
        <f>SUM($U$32:$U$91)</f>
        <v>9.0024447909445193</v>
      </c>
    </row>
    <row r="6" spans="1:5" x14ac:dyDescent="0.2">
      <c r="A6" t="s">
        <v>261</v>
      </c>
      <c r="B6" s="46">
        <f>Curves!E37</f>
        <v>28</v>
      </c>
      <c r="D6" t="s">
        <v>262</v>
      </c>
      <c r="E6" s="48">
        <f>INDEX(Curves!$E$5:$E$34,MAX(1,MIN(29,INT(MIN(30,MAX(1,E4))))))+(INDEX(Curves!$E$5:$E$34,MAX(1,MIN(29,INT(MIN(30,MAX(1,E4)))))+1)-INDEX(Curves!$E$5:$E$34,MAX(1,MIN(29,INT(MIN(30,MAX(1,E4)))))))*(MIN(30,MAX(1,E4))-MAX(1,MIN(29,INT(MIN(30,MAX(1,E4))))))</f>
        <v>53.5</v>
      </c>
    </row>
    <row r="7" spans="1:5" x14ac:dyDescent="0.2">
      <c r="A7" t="s">
        <v>263</v>
      </c>
      <c r="B7">
        <f>ROUND(2*Inputs!C6,0)</f>
        <v>2</v>
      </c>
      <c r="D7" t="s">
        <v>264</v>
      </c>
      <c r="E7" s="51">
        <f>E6/10000</f>
        <v>5.3499999999999997E-3</v>
      </c>
    </row>
    <row r="8" spans="1:5" x14ac:dyDescent="0.2">
      <c r="A8" t="s">
        <v>265</v>
      </c>
      <c r="B8">
        <f>ROUND(2*Inputs!C7,0)</f>
        <v>46</v>
      </c>
      <c r="D8" t="s">
        <v>266</v>
      </c>
      <c r="E8" s="51">
        <f>Inputs!C8/10000</f>
        <v>0</v>
      </c>
    </row>
    <row r="9" spans="1:5" x14ac:dyDescent="0.2">
      <c r="A9" t="s">
        <v>267</v>
      </c>
      <c r="B9">
        <f>B7+B8</f>
        <v>48</v>
      </c>
      <c r="D9" t="s">
        <v>268</v>
      </c>
      <c r="E9" s="51">
        <f>E7+E8</f>
        <v>5.3499999999999997E-3</v>
      </c>
    </row>
    <row r="10" spans="1:5" x14ac:dyDescent="0.2">
      <c r="A10" t="s">
        <v>269</v>
      </c>
      <c r="B10">
        <f>MAX(B7,1)</f>
        <v>2</v>
      </c>
      <c r="D10" t="s">
        <v>270</v>
      </c>
      <c r="E10" s="51">
        <f>SUMPRODUCT($U$32:$U$91,$Y$32:$Y$91)/E5</f>
        <v>6.2322004491220046E-3</v>
      </c>
    </row>
    <row r="11" spans="1:5" x14ac:dyDescent="0.2">
      <c r="D11" t="s">
        <v>271</v>
      </c>
      <c r="E11" s="51">
        <f>E10-E9</f>
        <v>8.8220044912200486E-4</v>
      </c>
    </row>
    <row r="12" spans="1:5" x14ac:dyDescent="0.2">
      <c r="D12" t="s">
        <v>272</v>
      </c>
      <c r="E12" s="51">
        <f>SUMPRODUCT($U$32:$U$91,$X$32:$X$91)/E5</f>
        <v>3.4476270641700779E-2</v>
      </c>
    </row>
    <row r="13" spans="1:5" x14ac:dyDescent="0.2">
      <c r="D13" t="s">
        <v>273</v>
      </c>
      <c r="E13" s="52">
        <f>SUM($Z$32:$Z$91)</f>
        <v>7.9419608377673204E-3</v>
      </c>
    </row>
    <row r="14" spans="1:5" x14ac:dyDescent="0.2">
      <c r="D14" t="s">
        <v>274</v>
      </c>
      <c r="E14" s="52">
        <f>SUM($AB$32:$AB$91)</f>
        <v>1.3197622023687997E-2</v>
      </c>
    </row>
    <row r="15" spans="1:5" x14ac:dyDescent="0.2">
      <c r="D15" t="s">
        <v>275</v>
      </c>
      <c r="E15" s="52">
        <f>SUM($AC$32:$AC$91)</f>
        <v>-5.2556611859206764E-3</v>
      </c>
    </row>
    <row r="16" spans="1:5" x14ac:dyDescent="0.2">
      <c r="D16" t="s">
        <v>176</v>
      </c>
      <c r="E16" s="48">
        <f>SUM($AE$32:$AE$91)</f>
        <v>3</v>
      </c>
    </row>
    <row r="17" spans="1:34" x14ac:dyDescent="0.2">
      <c r="D17" t="s">
        <v>175</v>
      </c>
      <c r="E17" s="48">
        <f>E4-E16</f>
        <v>9.5</v>
      </c>
    </row>
    <row r="18" spans="1:34" x14ac:dyDescent="0.2">
      <c r="D18" t="s">
        <v>276</v>
      </c>
      <c r="E18" s="50">
        <f>SUMPRODUCT($U$32:$U$91,$AA$32:$AA$91)</f>
        <v>1.3713339066658512</v>
      </c>
    </row>
    <row r="19" spans="1:34" x14ac:dyDescent="0.2">
      <c r="D19" t="s">
        <v>277</v>
      </c>
      <c r="E19" s="51">
        <f>IF(E18&gt;0,SUMPRODUCT($U$32:$U$91,$AA$32:$AA$91,$Y$32:$Y$91)/E18,0)</f>
        <v>1.4973930364104836E-2</v>
      </c>
    </row>
    <row r="20" spans="1:34" x14ac:dyDescent="0.2">
      <c r="D20" t="s">
        <v>278</v>
      </c>
      <c r="E20" s="51">
        <f>IF(E5-E18&gt;0,(SUMPRODUCT($U$32:$U$91,$Y$32:$Y$91)-SUMPRODUCT($U$32:$U$91,$AA$32:$AA$91,$Y$32:$Y$91))/(E5-E18),0)</f>
        <v>4.6612849143958576E-3</v>
      </c>
    </row>
    <row r="21" spans="1:34" x14ac:dyDescent="0.2">
      <c r="D21" t="s">
        <v>279</v>
      </c>
      <c r="E21" s="52">
        <f>SUM($T$32:$T$91)-SUM($AF$32:$AF$91)</f>
        <v>7.9419608377674367E-3</v>
      </c>
    </row>
    <row r="22" spans="1:34" x14ac:dyDescent="0.2">
      <c r="D22" t="s">
        <v>280</v>
      </c>
      <c r="E22" s="50">
        <f>MAX($AH$32:$AH$91)</f>
        <v>1.5677563414140394E-12</v>
      </c>
    </row>
    <row r="23" spans="1:34" x14ac:dyDescent="0.2">
      <c r="D23" t="s">
        <v>281</v>
      </c>
      <c r="E23" s="52">
        <f>MIN($L$32:$L$91)</f>
        <v>-3.0857344883881374E-3</v>
      </c>
    </row>
    <row r="24" spans="1:34" x14ac:dyDescent="0.2">
      <c r="D24" t="s">
        <v>282</v>
      </c>
      <c r="E24" s="48">
        <f>SUMPRODUCT($B$32:$B$91,$R$32:$R$91)-SUMPRODUCT($B$32:$B$91-0.5,$AG$32:$AG$91)</f>
        <v>12.500000000000002</v>
      </c>
    </row>
    <row r="25" spans="1:34" x14ac:dyDescent="0.2">
      <c r="D25" t="s">
        <v>283</v>
      </c>
      <c r="E25" s="51">
        <f>INDEX(Curves!$Z$6:$Z$65,MAX(1,MIN(59,INT(2*MIN(30,MAX(0.5,E4))))))+(INDEX(Curves!$Z$6:$Z$65,MAX(1,MIN(59,INT(2*MIN(30,MAX(0.5,E4)))))+1)-INDEX(Curves!$Z$6:$Z$65,MAX(1,MIN(59,INT(2*MIN(30,MAX(0.5,E4)))))))*(2*MIN(30,MAX(0.5,E4))-MAX(1,MIN(59,INT(2*MIN(30,MAX(0.5,E4))))))</f>
        <v>3.4600786593143529E-2</v>
      </c>
    </row>
    <row r="26" spans="1:34" x14ac:dyDescent="0.2">
      <c r="D26" t="s">
        <v>140</v>
      </c>
      <c r="E26" s="53">
        <f>B9/2</f>
        <v>24</v>
      </c>
    </row>
    <row r="30" spans="1:34" ht="60" customHeight="1" x14ac:dyDescent="0.2">
      <c r="A30" s="22" t="s">
        <v>240</v>
      </c>
      <c r="B30" s="22" t="s">
        <v>284</v>
      </c>
      <c r="C30" s="22" t="s">
        <v>285</v>
      </c>
      <c r="D30" s="22" t="s">
        <v>286</v>
      </c>
      <c r="E30" s="22" t="s">
        <v>287</v>
      </c>
      <c r="F30" s="22" t="s">
        <v>242</v>
      </c>
      <c r="G30" s="22" t="s">
        <v>288</v>
      </c>
      <c r="H30" s="22" t="s">
        <v>289</v>
      </c>
      <c r="I30" s="22" t="s">
        <v>290</v>
      </c>
      <c r="J30" s="22" t="s">
        <v>291</v>
      </c>
      <c r="K30" s="22" t="s">
        <v>292</v>
      </c>
      <c r="L30" s="22" t="s">
        <v>293</v>
      </c>
      <c r="M30" s="22" t="s">
        <v>294</v>
      </c>
      <c r="N30" s="22" t="s">
        <v>295</v>
      </c>
      <c r="O30" s="22" t="s">
        <v>296</v>
      </c>
      <c r="P30" s="22" t="s">
        <v>297</v>
      </c>
      <c r="Q30" s="22" t="s">
        <v>298</v>
      </c>
      <c r="R30" s="22" t="s">
        <v>299</v>
      </c>
      <c r="S30" s="22" t="s">
        <v>300</v>
      </c>
      <c r="T30" s="22" t="s">
        <v>301</v>
      </c>
      <c r="U30" s="22" t="s">
        <v>302</v>
      </c>
      <c r="V30" s="22" t="s">
        <v>303</v>
      </c>
      <c r="W30" s="22" t="s">
        <v>304</v>
      </c>
      <c r="X30" s="22" t="s">
        <v>305</v>
      </c>
      <c r="Y30" s="22" t="s">
        <v>306</v>
      </c>
      <c r="Z30" s="22" t="s">
        <v>307</v>
      </c>
      <c r="AA30" s="22" t="s">
        <v>308</v>
      </c>
      <c r="AB30" s="22" t="s">
        <v>309</v>
      </c>
      <c r="AC30" s="22" t="s">
        <v>310</v>
      </c>
      <c r="AD30" s="22" t="s">
        <v>311</v>
      </c>
      <c r="AE30" s="22" t="s">
        <v>312</v>
      </c>
      <c r="AF30" s="22" t="s">
        <v>313</v>
      </c>
      <c r="AG30" s="22" t="s">
        <v>314</v>
      </c>
      <c r="AH30" s="22" t="s">
        <v>315</v>
      </c>
    </row>
    <row r="31" spans="1:34" x14ac:dyDescent="0.2">
      <c r="A31">
        <v>0</v>
      </c>
      <c r="B31">
        <f t="shared" ref="B31:B62" si="0">A31/2</f>
        <v>0</v>
      </c>
      <c r="F31" s="54">
        <f>Curves!W5</f>
        <v>1</v>
      </c>
      <c r="M31">
        <v>1</v>
      </c>
      <c r="N31">
        <v>0</v>
      </c>
      <c r="O31">
        <v>0</v>
      </c>
    </row>
    <row r="32" spans="1:34" x14ac:dyDescent="0.2">
      <c r="A32">
        <v>1</v>
      </c>
      <c r="B32">
        <f t="shared" si="0"/>
        <v>0.5</v>
      </c>
      <c r="C32">
        <f t="shared" ref="C32:C63" si="1">ROUNDUP(A32/2,0)</f>
        <v>1</v>
      </c>
      <c r="D32" s="43">
        <f>INDEX(Curves!$E$5:$E$34,C32)/10000</f>
        <v>-1.9E-3</v>
      </c>
      <c r="E32">
        <f t="shared" ref="E32:E63" si="2">IF(C32&lt;=$B$6,1,0)</f>
        <v>1</v>
      </c>
      <c r="F32" s="54">
        <f>Curves!W6</f>
        <v>0.98492604881115664</v>
      </c>
      <c r="G32" s="54">
        <f>Curves!X6</f>
        <v>1.5304652777777816E-2</v>
      </c>
      <c r="H32">
        <f>N31+D32*O31</f>
        <v>0</v>
      </c>
      <c r="I32">
        <f>F33*M31*((G33+D32*$B$5+1)-$B$4)</f>
        <v>0.59667195759395897</v>
      </c>
      <c r="J32">
        <f>M31*(F32*((G32+D32*$B$5)-$B$4)+F33*$B$4)</f>
        <v>7.502024475384006E-3</v>
      </c>
      <c r="K32">
        <f>H32+F32*M31*$B$4-1</f>
        <v>-0.60602958047553734</v>
      </c>
      <c r="L32" s="44">
        <f>IF(E32=1,-2*LN((-J32+SQRT(J32^2-4*I32*K32))/(2*I32)),0)</f>
        <v>-3.0857344883881374E-3</v>
      </c>
      <c r="M32" s="44">
        <f t="shared" ref="M32:M63" si="3">M31*EXP(-L32*$B$5)</f>
        <v>1.0015440580762138</v>
      </c>
      <c r="N32">
        <f t="shared" ref="N32:N63" si="4">N31+F32*(M32*G32+$B$4*(M31-M32))</f>
        <v>1.4488913036860887E-2</v>
      </c>
      <c r="O32">
        <f t="shared" ref="O32:O63" si="5">O31+F32*M32*$B$5</f>
        <v>0.49322341591564844</v>
      </c>
      <c r="P32" s="43"/>
      <c r="Q32" s="45">
        <f t="shared" ref="Q32:Q63" si="6">IF(A32&lt;=$B$9,MIN(A32,$B$10)/$B$10-MAX(0,MIN(A32-1,$B$9)-$B$7)/$B$8,0)</f>
        <v>0.5</v>
      </c>
      <c r="R32" s="45">
        <f t="shared" ref="R32:R63" si="7">IF(AND(A32&gt;$B$7,A32&lt;=$B$9),1/$B$8,0)</f>
        <v>0</v>
      </c>
      <c r="S32" s="45">
        <f t="shared" ref="S32:S63" si="8">IF(A32&lt;=$B$10,1/$B$10,0)</f>
        <v>0.5</v>
      </c>
      <c r="T32">
        <f t="shared" ref="T32:T63" si="9">F31*M31*S32</f>
        <v>0.5</v>
      </c>
      <c r="U32" s="44">
        <f t="shared" ref="U32:U63" si="10">F32*M32*$B$5*Q32</f>
        <v>0.24661170795782422</v>
      </c>
      <c r="V32">
        <f t="shared" ref="V32:V63" si="11">M32/M31</f>
        <v>1.0015440580762138</v>
      </c>
      <c r="W32" s="43">
        <f t="shared" ref="W32:W63" si="12">(1-V32)*(1+G32-$B$4)/(V32*$B$5)</f>
        <v>-1.8972028455310876E-3</v>
      </c>
      <c r="X32" s="43">
        <f t="shared" ref="X32:X63" si="13">G32/$B$5</f>
        <v>3.0609305555555633E-2</v>
      </c>
      <c r="Y32" s="43">
        <f t="shared" ref="Y32:Y63" si="14">W32</f>
        <v>-1.8972028455310876E-3</v>
      </c>
      <c r="Z32" s="55">
        <f t="shared" ref="Z32:Z63" si="15">U32*(Y32-$E$9)</f>
        <v>-1.7872450716532253E-3</v>
      </c>
      <c r="AA32" s="41">
        <f t="shared" ref="AA32:AA63" si="16">MAX(0,MIN(1,(B32-$E$4)/$B$5))</f>
        <v>0</v>
      </c>
      <c r="AB32">
        <f t="shared" ref="AB32:AB63" si="17">Z32*AA32</f>
        <v>0</v>
      </c>
      <c r="AC32">
        <f t="shared" ref="AC32:AC63" si="18">Z32-AB32</f>
        <v>-1.7872450716532253E-3</v>
      </c>
      <c r="AD32">
        <f t="shared" ref="AD32:AD63" si="19">Q32*$B$5</f>
        <v>0.25</v>
      </c>
      <c r="AE32">
        <f t="shared" ref="AE32:AE63" si="20">AD32*AA32</f>
        <v>0</v>
      </c>
      <c r="AF32">
        <f t="shared" ref="AF32:AF63" si="21">F32*(M32*((G32+$E$9*$B$5)*Q32+R32)+$B$4*(M31-M32)*Q32)</f>
        <v>8.5638291560048031E-3</v>
      </c>
      <c r="AG32" s="45">
        <f t="shared" ref="AG32:AG63" si="22">S32</f>
        <v>0.5</v>
      </c>
      <c r="AH32" s="45">
        <v>0</v>
      </c>
    </row>
    <row r="33" spans="1:34" x14ac:dyDescent="0.2">
      <c r="A33">
        <v>2</v>
      </c>
      <c r="B33">
        <f t="shared" si="0"/>
        <v>1</v>
      </c>
      <c r="C33">
        <f t="shared" si="1"/>
        <v>1</v>
      </c>
      <c r="D33" s="43">
        <f>INDEX(Curves!$E$5:$E$34,C33)/10000</f>
        <v>-1.9E-3</v>
      </c>
      <c r="E33">
        <f t="shared" si="2"/>
        <v>1</v>
      </c>
      <c r="F33" s="54">
        <f>Curves!W7</f>
        <v>0.9683354313934347</v>
      </c>
      <c r="G33" s="54">
        <f>Curves!X7</f>
        <v>1.7133130607281499E-2</v>
      </c>
      <c r="L33" s="44">
        <f>L32</f>
        <v>-3.0857344883881374E-3</v>
      </c>
      <c r="M33" s="44">
        <f t="shared" si="3"/>
        <v>1.0030905002677704</v>
      </c>
      <c r="N33">
        <f t="shared" si="4"/>
        <v>3.0531813855480462E-2</v>
      </c>
      <c r="O33">
        <f t="shared" si="5"/>
        <v>0.97888745206737227</v>
      </c>
      <c r="P33" s="43">
        <f>IF(E33=1,(1-N33-F33*M33)/O33,"")</f>
        <v>-1.9000000000000642E-3</v>
      </c>
      <c r="Q33" s="45">
        <f t="shared" si="6"/>
        <v>1</v>
      </c>
      <c r="R33" s="45">
        <f t="shared" si="7"/>
        <v>0</v>
      </c>
      <c r="S33" s="45">
        <f t="shared" si="8"/>
        <v>0.5</v>
      </c>
      <c r="T33">
        <f t="shared" si="9"/>
        <v>0.49322341591564844</v>
      </c>
      <c r="U33" s="44">
        <f t="shared" si="10"/>
        <v>0.48566403615172382</v>
      </c>
      <c r="V33">
        <f t="shared" si="11"/>
        <v>1.0015440580762138</v>
      </c>
      <c r="W33" s="43">
        <f t="shared" si="12"/>
        <v>-1.9028406922879165E-3</v>
      </c>
      <c r="X33" s="43">
        <f t="shared" si="13"/>
        <v>3.4266261214562999E-2</v>
      </c>
      <c r="Y33" s="43">
        <f t="shared" si="14"/>
        <v>-1.9028406922879165E-3</v>
      </c>
      <c r="Z33" s="55">
        <f t="shared" si="15"/>
        <v>-3.522443884182012E-3</v>
      </c>
      <c r="AA33" s="41">
        <f t="shared" si="16"/>
        <v>0</v>
      </c>
      <c r="AB33">
        <f t="shared" si="17"/>
        <v>0</v>
      </c>
      <c r="AC33">
        <f t="shared" si="18"/>
        <v>-3.522443884182012E-3</v>
      </c>
      <c r="AD33">
        <f t="shared" si="19"/>
        <v>0.5</v>
      </c>
      <c r="AE33">
        <f t="shared" si="20"/>
        <v>0</v>
      </c>
      <c r="AF33">
        <f t="shared" si="21"/>
        <v>1.86412034120313E-2</v>
      </c>
      <c r="AG33" s="45">
        <f t="shared" si="22"/>
        <v>0.5</v>
      </c>
      <c r="AH33" s="45">
        <f>IF(E33=1,ABS(P33-D33)*10000,0)</f>
        <v>6.4184768611141862E-13</v>
      </c>
    </row>
    <row r="34" spans="1:34" x14ac:dyDescent="0.2">
      <c r="A34">
        <v>3</v>
      </c>
      <c r="B34">
        <f t="shared" si="0"/>
        <v>1.5</v>
      </c>
      <c r="C34">
        <f t="shared" si="1"/>
        <v>2</v>
      </c>
      <c r="D34" s="43">
        <f>INDEX(Curves!$E$5:$E$34,C34)/10000</f>
        <v>-1.5E-3</v>
      </c>
      <c r="E34">
        <f t="shared" si="2"/>
        <v>1</v>
      </c>
      <c r="F34" s="54">
        <f>Curves!W8</f>
        <v>0.95147545827470681</v>
      </c>
      <c r="G34" s="54">
        <f>Curves!X8</f>
        <v>1.7719819226130973E-2</v>
      </c>
      <c r="H34">
        <f>N33+D34*O33</f>
        <v>2.9063482677379404E-2</v>
      </c>
      <c r="I34">
        <f>F35*M33*((G35+D34*$B$5+1)-$B$4)</f>
        <v>0.57859329435366158</v>
      </c>
      <c r="J34">
        <f>M33*(F34*((G34+D34*$B$5)-$B$4)+F35*$B$4)</f>
        <v>9.5492197995900498E-3</v>
      </c>
      <c r="K34">
        <f>H34+F34*M33*$B$4-1</f>
        <v>-0.58917011994930779</v>
      </c>
      <c r="L34" s="44">
        <f>IF(E34=1,-2*LN((-J34+SQRT(J34^2-4*I34*K34))/(2*I34)),L33)</f>
        <v>-1.7599622423798004E-3</v>
      </c>
      <c r="M34" s="44">
        <f t="shared" si="3"/>
        <v>1.0039735894647754</v>
      </c>
      <c r="N34">
        <f t="shared" si="4"/>
        <v>4.7122686506402223E-2</v>
      </c>
      <c r="O34">
        <f t="shared" si="5"/>
        <v>1.456515567633222</v>
      </c>
      <c r="P34" s="43"/>
      <c r="Q34" s="45">
        <f t="shared" si="6"/>
        <v>1</v>
      </c>
      <c r="R34" s="45">
        <f t="shared" si="7"/>
        <v>2.1739130434782608E-2</v>
      </c>
      <c r="S34" s="45">
        <f t="shared" si="8"/>
        <v>0</v>
      </c>
      <c r="T34">
        <f t="shared" si="9"/>
        <v>0</v>
      </c>
      <c r="U34" s="44">
        <f t="shared" si="10"/>
        <v>0.47762811556584978</v>
      </c>
      <c r="V34">
        <f t="shared" si="11"/>
        <v>1.0008803684181731</v>
      </c>
      <c r="W34" s="43">
        <f t="shared" si="12"/>
        <v>-1.0866853567839262E-3</v>
      </c>
      <c r="X34" s="43">
        <f t="shared" si="13"/>
        <v>3.5439638452261946E-2</v>
      </c>
      <c r="Y34" s="43">
        <f t="shared" si="14"/>
        <v>-1.0866853567839262E-3</v>
      </c>
      <c r="Z34" s="55">
        <f t="shared" si="15"/>
        <v>-3.0743418974510063E-3</v>
      </c>
      <c r="AA34" s="41">
        <f t="shared" si="16"/>
        <v>0</v>
      </c>
      <c r="AB34">
        <f t="shared" si="17"/>
        <v>0</v>
      </c>
      <c r="AC34">
        <f t="shared" si="18"/>
        <v>-3.0743418974510063E-3</v>
      </c>
      <c r="AD34">
        <f t="shared" si="19"/>
        <v>0.5</v>
      </c>
      <c r="AE34">
        <f t="shared" si="20"/>
        <v>0</v>
      </c>
      <c r="AF34">
        <f t="shared" si="21"/>
        <v>3.9912622876409912E-2</v>
      </c>
      <c r="AG34" s="45">
        <f t="shared" si="22"/>
        <v>0</v>
      </c>
      <c r="AH34" s="45">
        <v>0</v>
      </c>
    </row>
    <row r="35" spans="1:34" x14ac:dyDescent="0.2">
      <c r="A35">
        <v>4</v>
      </c>
      <c r="B35">
        <f t="shared" si="0"/>
        <v>2</v>
      </c>
      <c r="C35">
        <f t="shared" si="1"/>
        <v>2</v>
      </c>
      <c r="D35" s="43">
        <f>INDEX(Curves!$E$5:$E$34,C35)/10000</f>
        <v>-1.5E-3</v>
      </c>
      <c r="E35">
        <f t="shared" si="2"/>
        <v>1</v>
      </c>
      <c r="F35" s="54">
        <f>Curves!W9</f>
        <v>0.93490903910882273</v>
      </c>
      <c r="G35" s="54">
        <f>Curves!X9</f>
        <v>1.7719819226130973E-2</v>
      </c>
      <c r="L35" s="44">
        <f>L34</f>
        <v>-1.7599622423798004E-3</v>
      </c>
      <c r="M35" s="44">
        <f t="shared" si="3"/>
        <v>1.0048574561056201</v>
      </c>
      <c r="N35">
        <f t="shared" si="4"/>
        <v>6.3439042361455006E-2</v>
      </c>
      <c r="O35">
        <f t="shared" si="5"/>
        <v>1.9262407269977426</v>
      </c>
      <c r="P35" s="43">
        <f>IF(E35=1,(1-N35-F35*M35)/O35,"")</f>
        <v>-1.4999999999998433E-3</v>
      </c>
      <c r="Q35" s="45">
        <f t="shared" si="6"/>
        <v>0.97826086956521741</v>
      </c>
      <c r="R35" s="45">
        <f t="shared" si="7"/>
        <v>2.1739130434782608E-2</v>
      </c>
      <c r="S35" s="45">
        <f t="shared" si="8"/>
        <v>0</v>
      </c>
      <c r="T35">
        <f t="shared" si="9"/>
        <v>0</v>
      </c>
      <c r="U35" s="44">
        <f t="shared" si="10"/>
        <v>0.4595137428565963</v>
      </c>
      <c r="V35">
        <f t="shared" si="11"/>
        <v>1.0008803684181731</v>
      </c>
      <c r="W35" s="43">
        <f t="shared" si="12"/>
        <v>-1.0866853567839262E-3</v>
      </c>
      <c r="X35" s="43">
        <f t="shared" si="13"/>
        <v>3.5439638452261946E-2</v>
      </c>
      <c r="Y35" s="43">
        <f t="shared" si="14"/>
        <v>-1.0866853567839262E-3</v>
      </c>
      <c r="Z35" s="55">
        <f t="shared" si="15"/>
        <v>-2.9577453798860279E-3</v>
      </c>
      <c r="AA35" s="41">
        <f t="shared" si="16"/>
        <v>0</v>
      </c>
      <c r="AB35">
        <f t="shared" si="17"/>
        <v>0</v>
      </c>
      <c r="AC35">
        <f t="shared" si="18"/>
        <v>-2.9577453798860279E-3</v>
      </c>
      <c r="AD35">
        <f t="shared" si="19"/>
        <v>0.4891304347826087</v>
      </c>
      <c r="AE35">
        <f t="shared" si="20"/>
        <v>0</v>
      </c>
      <c r="AF35">
        <f t="shared" si="21"/>
        <v>3.8842884007030974E-2</v>
      </c>
      <c r="AG35" s="45">
        <f t="shared" si="22"/>
        <v>0</v>
      </c>
      <c r="AH35" s="45">
        <f>IF(E35=1,ABS(P35-D35)*10000,0)</f>
        <v>1.5677563414140394E-12</v>
      </c>
    </row>
    <row r="36" spans="1:34" x14ac:dyDescent="0.2">
      <c r="A36">
        <v>5</v>
      </c>
      <c r="B36">
        <f t="shared" si="0"/>
        <v>2.5</v>
      </c>
      <c r="C36">
        <f t="shared" si="1"/>
        <v>3</v>
      </c>
      <c r="D36" s="43">
        <f>INDEX(Curves!$E$5:$E$34,C36)/10000</f>
        <v>-1.4E-3</v>
      </c>
      <c r="E36">
        <f t="shared" si="2"/>
        <v>1</v>
      </c>
      <c r="F36" s="54">
        <f>Curves!W10</f>
        <v>0.91890677437902368</v>
      </c>
      <c r="G36" s="54">
        <f>Curves!X10</f>
        <v>1.7414459416313477E-2</v>
      </c>
      <c r="H36">
        <f>N35+D36*O35</f>
        <v>6.0742305343658168E-2</v>
      </c>
      <c r="I36">
        <f>F37*M35*((G37+D36*$B$5+1)-$B$4)</f>
        <v>0.55970880377388643</v>
      </c>
      <c r="J36">
        <f>M35*(F36*((G36+D36*$B$5)-$B$4)+F37*$B$4)</f>
        <v>9.1117303562129187E-3</v>
      </c>
      <c r="K36">
        <f>H36+F36*M35*$B$4-1</f>
        <v>-0.56990956517605107</v>
      </c>
      <c r="L36" s="44">
        <f>IF(E36=1,-2*LN((-J36+SQRT(J36^2-4*I36*K36))/(2*I36)),L35)</f>
        <v>-1.928147855378929E-3</v>
      </c>
      <c r="M36" s="44">
        <f t="shared" si="3"/>
        <v>1.0058266801068212</v>
      </c>
      <c r="N36">
        <f t="shared" si="4"/>
        <v>7.9178296568581455E-2</v>
      </c>
      <c r="O36">
        <f t="shared" si="5"/>
        <v>2.3883712020984031</v>
      </c>
      <c r="P36" s="43"/>
      <c r="Q36" s="45">
        <f t="shared" si="6"/>
        <v>0.95652173913043481</v>
      </c>
      <c r="R36" s="45">
        <f t="shared" si="7"/>
        <v>2.1739130434782608E-2</v>
      </c>
      <c r="S36" s="45">
        <f t="shared" si="8"/>
        <v>0</v>
      </c>
      <c r="T36">
        <f t="shared" si="9"/>
        <v>0</v>
      </c>
      <c r="U36" s="44">
        <f t="shared" si="10"/>
        <v>0.44203784574845795</v>
      </c>
      <c r="V36">
        <f t="shared" si="11"/>
        <v>1.0009645387963357</v>
      </c>
      <c r="W36" s="43">
        <f t="shared" si="12"/>
        <v>-1.1898927013774228E-3</v>
      </c>
      <c r="X36" s="43">
        <f t="shared" si="13"/>
        <v>3.4828918832626954E-2</v>
      </c>
      <c r="Y36" s="43">
        <f t="shared" si="14"/>
        <v>-1.1898927013774228E-3</v>
      </c>
      <c r="Z36" s="55">
        <f t="shared" si="15"/>
        <v>-2.8908800811429389E-3</v>
      </c>
      <c r="AA36" s="41">
        <f t="shared" si="16"/>
        <v>0</v>
      </c>
      <c r="AB36">
        <f t="shared" si="17"/>
        <v>0</v>
      </c>
      <c r="AC36">
        <f t="shared" si="18"/>
        <v>-2.8908800811429389E-3</v>
      </c>
      <c r="AD36">
        <f t="shared" si="19"/>
        <v>0.47826086956521741</v>
      </c>
      <c r="AE36">
        <f t="shared" si="20"/>
        <v>0</v>
      </c>
      <c r="AF36">
        <f t="shared" si="21"/>
        <v>3.7512470633773491E-2</v>
      </c>
      <c r="AG36" s="45">
        <f t="shared" si="22"/>
        <v>0</v>
      </c>
      <c r="AH36" s="45">
        <v>0</v>
      </c>
    </row>
    <row r="37" spans="1:34" x14ac:dyDescent="0.2">
      <c r="A37">
        <v>6</v>
      </c>
      <c r="B37">
        <f t="shared" si="0"/>
        <v>3</v>
      </c>
      <c r="C37">
        <f t="shared" si="1"/>
        <v>3</v>
      </c>
      <c r="D37" s="43">
        <f>INDEX(Curves!$E$5:$E$34,C37)/10000</f>
        <v>-1.4E-3</v>
      </c>
      <c r="E37">
        <f t="shared" si="2"/>
        <v>1</v>
      </c>
      <c r="F37" s="54">
        <f>Curves!W11</f>
        <v>0.90317841060190629</v>
      </c>
      <c r="G37" s="54">
        <f>Curves!X11</f>
        <v>1.7414459416313477E-2</v>
      </c>
      <c r="L37" s="44">
        <f>L36</f>
        <v>-1.928147855378929E-3</v>
      </c>
      <c r="M37" s="44">
        <f t="shared" si="3"/>
        <v>1.0067968389621738</v>
      </c>
      <c r="N37">
        <f t="shared" si="4"/>
        <v>9.4663072888226937E-2</v>
      </c>
      <c r="O37">
        <f t="shared" si="5"/>
        <v>2.8430297865048431</v>
      </c>
      <c r="P37" s="43">
        <f>IF(E37=1,(1-N37-F37*M37)/O37,"")</f>
        <v>-1.3999999999998825E-3</v>
      </c>
      <c r="Q37" s="45">
        <f t="shared" si="6"/>
        <v>0.93478260869565222</v>
      </c>
      <c r="R37" s="45">
        <f t="shared" si="7"/>
        <v>2.1739130434782608E-2</v>
      </c>
      <c r="S37" s="45">
        <f t="shared" si="8"/>
        <v>0</v>
      </c>
      <c r="T37">
        <f t="shared" si="9"/>
        <v>0</v>
      </c>
      <c r="U37" s="44">
        <f t="shared" si="10"/>
        <v>0.42500693759732411</v>
      </c>
      <c r="V37">
        <f t="shared" si="11"/>
        <v>1.0009645387963357</v>
      </c>
      <c r="W37" s="43">
        <f t="shared" si="12"/>
        <v>-1.1898927013774228E-3</v>
      </c>
      <c r="X37" s="43">
        <f t="shared" si="13"/>
        <v>3.4828918832626954E-2</v>
      </c>
      <c r="Y37" s="43">
        <f t="shared" si="14"/>
        <v>-1.1898927013774228E-3</v>
      </c>
      <c r="Z37" s="55">
        <f t="shared" si="15"/>
        <v>-2.7794997692275098E-3</v>
      </c>
      <c r="AA37" s="41">
        <f t="shared" si="16"/>
        <v>0</v>
      </c>
      <c r="AB37">
        <f t="shared" si="17"/>
        <v>0</v>
      </c>
      <c r="AC37">
        <f t="shared" si="18"/>
        <v>-2.7794997692275098E-3</v>
      </c>
      <c r="AD37">
        <f t="shared" si="19"/>
        <v>0.46739130434782611</v>
      </c>
      <c r="AE37">
        <f t="shared" si="20"/>
        <v>0</v>
      </c>
      <c r="AF37">
        <f t="shared" si="21"/>
        <v>3.6516451258702967E-2</v>
      </c>
      <c r="AG37" s="45">
        <f t="shared" si="22"/>
        <v>0</v>
      </c>
      <c r="AH37" s="45">
        <f>IF(E37=1,ABS(P37-D37)*10000,0)</f>
        <v>1.1752751549742868E-12</v>
      </c>
    </row>
    <row r="38" spans="1:34" x14ac:dyDescent="0.2">
      <c r="A38">
        <v>7</v>
      </c>
      <c r="B38">
        <f t="shared" si="0"/>
        <v>3.5</v>
      </c>
      <c r="C38">
        <f t="shared" si="1"/>
        <v>4</v>
      </c>
      <c r="D38" s="43">
        <f>INDEX(Curves!$E$5:$E$34,C38)/10000</f>
        <v>-2.0000000000000001E-4</v>
      </c>
      <c r="E38">
        <f t="shared" si="2"/>
        <v>1</v>
      </c>
      <c r="F38" s="54">
        <f>Curves!W12</f>
        <v>0.88817133984289254</v>
      </c>
      <c r="G38" s="54">
        <f>Curves!X12</f>
        <v>1.6896594255865427E-2</v>
      </c>
      <c r="H38">
        <f>N37+D38*O37</f>
        <v>9.4094466930925963E-2</v>
      </c>
      <c r="I38">
        <f>F39*M37*((G39+D38*$B$5+1)-$B$4)</f>
        <v>0.54238013201577595</v>
      </c>
      <c r="J38">
        <f>M37*(F38*((G38+D38*$B$5)-$B$4)+F39*$B$4)</f>
        <v>9.0764420155164758E-3</v>
      </c>
      <c r="K38">
        <f>H38+F38*M37*$B$4-1</f>
        <v>-0.54822229410482493</v>
      </c>
      <c r="L38" s="44">
        <f>IF(E38=1,-2*LN((-J38+SQRT(J38^2-4*I38*K38))/(2*I38)),L37)</f>
        <v>5.9311247045264704E-3</v>
      </c>
      <c r="M38" s="44">
        <f t="shared" si="3"/>
        <v>1.0038155429547022</v>
      </c>
      <c r="N38">
        <f t="shared" si="4"/>
        <v>0.11078656443811563</v>
      </c>
      <c r="O38">
        <f t="shared" si="5"/>
        <v>3.2888098843754423</v>
      </c>
      <c r="P38" s="43"/>
      <c r="Q38" s="45">
        <f t="shared" si="6"/>
        <v>0.91304347826086962</v>
      </c>
      <c r="R38" s="45">
        <f t="shared" si="7"/>
        <v>2.1739130434782608E-2</v>
      </c>
      <c r="S38" s="45">
        <f t="shared" si="8"/>
        <v>0</v>
      </c>
      <c r="T38">
        <f t="shared" si="9"/>
        <v>0</v>
      </c>
      <c r="U38" s="44">
        <f t="shared" si="10"/>
        <v>0.40701661109924281</v>
      </c>
      <c r="V38">
        <f t="shared" si="11"/>
        <v>0.99703883058418741</v>
      </c>
      <c r="W38" s="43">
        <f t="shared" si="12"/>
        <v>3.6643213315154305E-3</v>
      </c>
      <c r="X38" s="43">
        <f t="shared" si="13"/>
        <v>3.3793188511730854E-2</v>
      </c>
      <c r="Y38" s="43">
        <f t="shared" si="14"/>
        <v>3.6643213315154305E-3</v>
      </c>
      <c r="Z38" s="55">
        <f t="shared" si="15"/>
        <v>-6.8609921904887335E-4</v>
      </c>
      <c r="AA38" s="41">
        <f t="shared" si="16"/>
        <v>0</v>
      </c>
      <c r="AB38">
        <f t="shared" si="17"/>
        <v>0</v>
      </c>
      <c r="AC38">
        <f t="shared" si="18"/>
        <v>-6.8609921904887335E-4</v>
      </c>
      <c r="AD38">
        <f t="shared" si="19"/>
        <v>0.45652173913043481</v>
      </c>
      <c r="AE38">
        <f t="shared" si="20"/>
        <v>0</v>
      </c>
      <c r="AF38">
        <f t="shared" si="21"/>
        <v>3.6280731061479291E-2</v>
      </c>
      <c r="AG38" s="45">
        <f t="shared" si="22"/>
        <v>0</v>
      </c>
      <c r="AH38" s="45">
        <v>0</v>
      </c>
    </row>
    <row r="39" spans="1:34" x14ac:dyDescent="0.2">
      <c r="A39">
        <v>8</v>
      </c>
      <c r="B39">
        <f t="shared" si="0"/>
        <v>4</v>
      </c>
      <c r="C39">
        <f t="shared" si="1"/>
        <v>4</v>
      </c>
      <c r="D39" s="43">
        <f>INDEX(Curves!$E$5:$E$34,C39)/10000</f>
        <v>-2.0000000000000001E-4</v>
      </c>
      <c r="E39">
        <f t="shared" si="2"/>
        <v>1</v>
      </c>
      <c r="F39" s="54">
        <f>Curves!W13</f>
        <v>0.87341362421695368</v>
      </c>
      <c r="G39" s="54">
        <f>Curves!X13</f>
        <v>1.6896594255865427E-2</v>
      </c>
      <c r="L39" s="44">
        <f>L38</f>
        <v>5.9311247045264704E-3</v>
      </c>
      <c r="M39" s="44">
        <f t="shared" si="3"/>
        <v>1.0008430750697874</v>
      </c>
      <c r="N39">
        <f t="shared" si="4"/>
        <v>0.12659519950547843</v>
      </c>
      <c r="O39">
        <f t="shared" si="5"/>
        <v>3.7258848731100143</v>
      </c>
      <c r="P39" s="43">
        <f>IF(E39=1,(1-N39-F39*M39)/O39,"")</f>
        <v>-2.0000000000001635E-4</v>
      </c>
      <c r="Q39" s="45">
        <f t="shared" si="6"/>
        <v>0.89130434782608692</v>
      </c>
      <c r="R39" s="45">
        <f t="shared" si="7"/>
        <v>2.1739130434782608E-2</v>
      </c>
      <c r="S39" s="45">
        <f t="shared" si="8"/>
        <v>0</v>
      </c>
      <c r="T39">
        <f t="shared" si="9"/>
        <v>0</v>
      </c>
      <c r="U39" s="44">
        <f t="shared" si="10"/>
        <v>0.38956683778516182</v>
      </c>
      <c r="V39">
        <f t="shared" si="11"/>
        <v>0.99703883058418741</v>
      </c>
      <c r="W39" s="43">
        <f t="shared" si="12"/>
        <v>3.6643213315154305E-3</v>
      </c>
      <c r="X39" s="43">
        <f t="shared" si="13"/>
        <v>3.3793188511730854E-2</v>
      </c>
      <c r="Y39" s="43">
        <f t="shared" si="14"/>
        <v>3.6643213315154305E-3</v>
      </c>
      <c r="Z39" s="55">
        <f t="shared" si="15"/>
        <v>-6.5668450840343582E-4</v>
      </c>
      <c r="AA39" s="41">
        <f t="shared" si="16"/>
        <v>0</v>
      </c>
      <c r="AB39">
        <f t="shared" si="17"/>
        <v>0</v>
      </c>
      <c r="AC39">
        <f t="shared" si="18"/>
        <v>-6.5668450840343582E-4</v>
      </c>
      <c r="AD39">
        <f t="shared" si="19"/>
        <v>0.44565217391304346</v>
      </c>
      <c r="AE39">
        <f t="shared" si="20"/>
        <v>0</v>
      </c>
      <c r="AF39">
        <f t="shared" si="21"/>
        <v>3.5177748130651013E-2</v>
      </c>
      <c r="AG39" s="45">
        <f t="shared" si="22"/>
        <v>0</v>
      </c>
      <c r="AH39" s="45">
        <f>IF(E39=1,ABS(P39-D39)*10000,0)</f>
        <v>1.6344347750218979E-13</v>
      </c>
    </row>
    <row r="40" spans="1:34" x14ac:dyDescent="0.2">
      <c r="A40">
        <v>9</v>
      </c>
      <c r="B40">
        <f t="shared" si="0"/>
        <v>4.5</v>
      </c>
      <c r="C40">
        <f t="shared" si="1"/>
        <v>5</v>
      </c>
      <c r="D40" s="43">
        <f>INDEX(Curves!$E$5:$E$34,C40)/10000</f>
        <v>5.9999999999999995E-4</v>
      </c>
      <c r="E40">
        <f t="shared" si="2"/>
        <v>1</v>
      </c>
      <c r="F40" s="54">
        <f>Curves!W14</f>
        <v>0.8587677095081333</v>
      </c>
      <c r="G40" s="54">
        <f>Curves!X14</f>
        <v>1.705457080728956E-2</v>
      </c>
      <c r="H40">
        <f>N39+D40*O39</f>
        <v>0.12883073042934443</v>
      </c>
      <c r="I40">
        <f>F41*M39*((G41+D40*$B$5+1)-$B$4)</f>
        <v>0.52171353843935142</v>
      </c>
      <c r="J40">
        <f>M39*(F40*((G40+D40*$B$5)-$B$4)+F41*$B$4)</f>
        <v>9.1511242578035442E-3</v>
      </c>
      <c r="K40">
        <f>H40+F40*M39*$B$4-1</f>
        <v>-0.52737258350875227</v>
      </c>
      <c r="L40" s="44">
        <f>IF(E40=1,-2*LN((-J40+SQRT(J40^2-4*I40*K40))/(2*I40)),L39)</f>
        <v>6.6573016568458911E-3</v>
      </c>
      <c r="M40" s="44">
        <f t="shared" si="3"/>
        <v>0.99751715642067618</v>
      </c>
      <c r="N40">
        <f t="shared" si="4"/>
        <v>0.1423472273151237</v>
      </c>
      <c r="O40">
        <f t="shared" si="5"/>
        <v>4.1542026349172394</v>
      </c>
      <c r="P40" s="43"/>
      <c r="Q40" s="45">
        <f t="shared" si="6"/>
        <v>0.86956521739130432</v>
      </c>
      <c r="R40" s="45">
        <f t="shared" si="7"/>
        <v>2.1739130434782608E-2</v>
      </c>
      <c r="S40" s="45">
        <f t="shared" si="8"/>
        <v>0</v>
      </c>
      <c r="T40">
        <f t="shared" si="9"/>
        <v>0</v>
      </c>
      <c r="U40" s="44">
        <f t="shared" si="10"/>
        <v>0.3724502276584567</v>
      </c>
      <c r="V40">
        <f t="shared" si="11"/>
        <v>0.9966768829879955</v>
      </c>
      <c r="W40" s="43">
        <f t="shared" si="12"/>
        <v>4.1147629218355897E-3</v>
      </c>
      <c r="X40" s="43">
        <f t="shared" si="13"/>
        <v>3.4109141614579119E-2</v>
      </c>
      <c r="Y40" s="43">
        <f t="shared" si="14"/>
        <v>4.1147629218355897E-3</v>
      </c>
      <c r="Z40" s="55">
        <f t="shared" si="15"/>
        <v>-4.6006433097450138E-4</v>
      </c>
      <c r="AA40" s="41">
        <f t="shared" si="16"/>
        <v>0</v>
      </c>
      <c r="AB40">
        <f t="shared" si="17"/>
        <v>0</v>
      </c>
      <c r="AC40">
        <f t="shared" si="18"/>
        <v>-4.6006433097450138E-4</v>
      </c>
      <c r="AD40">
        <f t="shared" si="19"/>
        <v>0.43478260869565216</v>
      </c>
      <c r="AE40">
        <f t="shared" si="20"/>
        <v>0</v>
      </c>
      <c r="AF40">
        <f t="shared" si="21"/>
        <v>3.4312535587543644E-2</v>
      </c>
      <c r="AG40" s="45">
        <f t="shared" si="22"/>
        <v>0</v>
      </c>
      <c r="AH40" s="45">
        <v>0</v>
      </c>
    </row>
    <row r="41" spans="1:34" x14ac:dyDescent="0.2">
      <c r="A41">
        <v>10</v>
      </c>
      <c r="B41">
        <f t="shared" si="0"/>
        <v>5</v>
      </c>
      <c r="C41">
        <f t="shared" si="1"/>
        <v>5</v>
      </c>
      <c r="D41" s="43">
        <f>INDEX(Curves!$E$5:$E$34,C41)/10000</f>
        <v>5.9999999999999995E-4</v>
      </c>
      <c r="E41">
        <f t="shared" si="2"/>
        <v>1</v>
      </c>
      <c r="F41" s="54">
        <f>Curves!W15</f>
        <v>0.8443673861339458</v>
      </c>
      <c r="G41" s="54">
        <f>Curves!X15</f>
        <v>1.7054570807289782E-2</v>
      </c>
      <c r="L41" s="44">
        <f>L40</f>
        <v>6.6573016568458911E-3</v>
      </c>
      <c r="M41" s="44">
        <f t="shared" si="3"/>
        <v>0.99420229018840833</v>
      </c>
      <c r="N41">
        <f t="shared" si="4"/>
        <v>0.15778364776756412</v>
      </c>
      <c r="O41">
        <f t="shared" si="5"/>
        <v>4.5739386294446236</v>
      </c>
      <c r="P41" s="43">
        <f>IF(E41=1,(1-N41-F41*M41)/O41,"")</f>
        <v>6.0000000000000515E-4</v>
      </c>
      <c r="Q41" s="45">
        <f t="shared" si="6"/>
        <v>0.84782608695652173</v>
      </c>
      <c r="R41" s="45">
        <f t="shared" si="7"/>
        <v>2.1739130434782608E-2</v>
      </c>
      <c r="S41" s="45">
        <f t="shared" si="8"/>
        <v>0</v>
      </c>
      <c r="T41">
        <f t="shared" si="9"/>
        <v>0</v>
      </c>
      <c r="U41" s="44">
        <f t="shared" si="10"/>
        <v>0.35586312579495644</v>
      </c>
      <c r="V41">
        <f t="shared" si="11"/>
        <v>0.9966768829879955</v>
      </c>
      <c r="W41" s="43">
        <f t="shared" si="12"/>
        <v>4.1147629218355915E-3</v>
      </c>
      <c r="X41" s="43">
        <f t="shared" si="13"/>
        <v>3.4109141614579563E-2</v>
      </c>
      <c r="Y41" s="43">
        <f t="shared" si="14"/>
        <v>4.1147629218355915E-3</v>
      </c>
      <c r="Z41" s="55">
        <f t="shared" si="15"/>
        <v>-4.3957532773341527E-4</v>
      </c>
      <c r="AA41" s="41">
        <f t="shared" si="16"/>
        <v>0</v>
      </c>
      <c r="AB41">
        <f t="shared" si="17"/>
        <v>0</v>
      </c>
      <c r="AC41">
        <f t="shared" si="18"/>
        <v>-4.3957532773341527E-4</v>
      </c>
      <c r="AD41">
        <f t="shared" si="19"/>
        <v>0.42391304347826086</v>
      </c>
      <c r="AE41">
        <f t="shared" si="20"/>
        <v>0</v>
      </c>
      <c r="AF41">
        <f t="shared" si="21"/>
        <v>3.3240658738219228E-2</v>
      </c>
      <c r="AG41" s="45">
        <f t="shared" si="22"/>
        <v>0</v>
      </c>
      <c r="AH41" s="45">
        <f>IF(E41=1,ABS(P41-D41)*10000,0)</f>
        <v>5.2041704279304213E-14</v>
      </c>
    </row>
    <row r="42" spans="1:34" x14ac:dyDescent="0.2">
      <c r="A42">
        <v>11</v>
      </c>
      <c r="B42">
        <f t="shared" si="0"/>
        <v>5.5</v>
      </c>
      <c r="C42">
        <f t="shared" si="1"/>
        <v>6</v>
      </c>
      <c r="D42" s="43">
        <f>INDEX(Curves!$E$5:$E$34,C42)/10000</f>
        <v>1.2999999999999999E-3</v>
      </c>
      <c r="E42">
        <f t="shared" si="2"/>
        <v>1</v>
      </c>
      <c r="F42" s="54">
        <f>Curves!W16</f>
        <v>0.8302085358740654</v>
      </c>
      <c r="G42" s="54">
        <f>Curves!X16</f>
        <v>1.705457080728956E-2</v>
      </c>
      <c r="H42">
        <f>N41+D42*O41</f>
        <v>0.16372976798584213</v>
      </c>
      <c r="I42">
        <f>F43*M41*((G43+D42*$B$5+1)-$B$4)</f>
        <v>0.50130093262163355</v>
      </c>
      <c r="J42">
        <f>M41*(F42*((G42+D42*$B$5)-$B$4)+F43*$B$4)</f>
        <v>9.0769826851133852E-3</v>
      </c>
      <c r="K42">
        <f>H42+F42*M41*$B$4-1</f>
        <v>-0.50611214093417334</v>
      </c>
      <c r="L42" s="44">
        <f>IF(E42=1,-2*LN((-J42+SQRT(J42^2-4*I42*K42))/(2*I42)),L41)</f>
        <v>8.4686582019320132E-3</v>
      </c>
      <c r="M42" s="44">
        <f t="shared" si="3"/>
        <v>0.99000141072854198</v>
      </c>
      <c r="N42">
        <f t="shared" si="4"/>
        <v>0.17319597189344357</v>
      </c>
      <c r="O42">
        <f t="shared" si="5"/>
        <v>4.9848924403017243</v>
      </c>
      <c r="P42" s="43"/>
      <c r="Q42" s="45">
        <f t="shared" si="6"/>
        <v>0.82608695652173914</v>
      </c>
      <c r="R42" s="45">
        <f t="shared" si="7"/>
        <v>2.1739130434782608E-2</v>
      </c>
      <c r="S42" s="45">
        <f t="shared" si="8"/>
        <v>0</v>
      </c>
      <c r="T42">
        <f t="shared" si="9"/>
        <v>0</v>
      </c>
      <c r="U42" s="44">
        <f t="shared" si="10"/>
        <v>0.33948358288195302</v>
      </c>
      <c r="V42">
        <f t="shared" si="11"/>
        <v>0.99577462303062059</v>
      </c>
      <c r="W42" s="43">
        <f t="shared" si="12"/>
        <v>5.2367033905808703E-3</v>
      </c>
      <c r="X42" s="43">
        <f t="shared" si="13"/>
        <v>3.4109141614579119E-2</v>
      </c>
      <c r="Y42" s="43">
        <f t="shared" si="14"/>
        <v>5.2367033905808703E-3</v>
      </c>
      <c r="Z42" s="55">
        <f t="shared" si="15"/>
        <v>-3.8462338893983296E-5</v>
      </c>
      <c r="AA42" s="41">
        <f t="shared" si="16"/>
        <v>0</v>
      </c>
      <c r="AB42">
        <f t="shared" si="17"/>
        <v>0</v>
      </c>
      <c r="AC42">
        <f t="shared" si="18"/>
        <v>-3.8462338893983296E-5</v>
      </c>
      <c r="AD42">
        <f t="shared" si="19"/>
        <v>0.41304347826086957</v>
      </c>
      <c r="AE42">
        <f t="shared" si="20"/>
        <v>0</v>
      </c>
      <c r="AF42">
        <f t="shared" si="21"/>
        <v>3.2415714092279779E-2</v>
      </c>
      <c r="AG42" s="45">
        <f t="shared" si="22"/>
        <v>0</v>
      </c>
      <c r="AH42" s="45">
        <v>0</v>
      </c>
    </row>
    <row r="43" spans="1:34" x14ac:dyDescent="0.2">
      <c r="A43">
        <v>12</v>
      </c>
      <c r="B43">
        <f t="shared" si="0"/>
        <v>6</v>
      </c>
      <c r="C43">
        <f t="shared" si="1"/>
        <v>6</v>
      </c>
      <c r="D43" s="43">
        <f>INDEX(Curves!$E$5:$E$34,C43)/10000</f>
        <v>1.2999999999999999E-3</v>
      </c>
      <c r="E43">
        <f t="shared" si="2"/>
        <v>1</v>
      </c>
      <c r="F43" s="54">
        <f>Curves!W17</f>
        <v>0.81628710956491279</v>
      </c>
      <c r="G43" s="54">
        <f>Curves!X17</f>
        <v>1.705457080728956E-2</v>
      </c>
      <c r="L43" s="44">
        <f>L42</f>
        <v>8.4686582019320132E-3</v>
      </c>
      <c r="M43" s="44">
        <f t="shared" si="3"/>
        <v>0.98581828156799645</v>
      </c>
      <c r="N43">
        <f t="shared" si="4"/>
        <v>0.1882858222190672</v>
      </c>
      <c r="O43">
        <f t="shared" si="5"/>
        <v>5.3872478181104189</v>
      </c>
      <c r="P43" s="43">
        <f>IF(E43=1,(1-N43-F43*M43)/O43,"")</f>
        <v>1.3000000000000214E-3</v>
      </c>
      <c r="Q43" s="45">
        <f t="shared" si="6"/>
        <v>0.80434782608695654</v>
      </c>
      <c r="R43" s="45">
        <f t="shared" si="7"/>
        <v>2.1739130434782608E-2</v>
      </c>
      <c r="S43" s="45">
        <f t="shared" si="8"/>
        <v>0</v>
      </c>
      <c r="T43">
        <f t="shared" si="9"/>
        <v>0</v>
      </c>
      <c r="U43" s="44">
        <f t="shared" si="10"/>
        <v>0.32363367345481953</v>
      </c>
      <c r="V43">
        <f t="shared" si="11"/>
        <v>0.99577462303062059</v>
      </c>
      <c r="W43" s="43">
        <f t="shared" si="12"/>
        <v>5.2367033905808703E-3</v>
      </c>
      <c r="X43" s="43">
        <f t="shared" si="13"/>
        <v>3.4109141614579119E-2</v>
      </c>
      <c r="Y43" s="43">
        <f t="shared" si="14"/>
        <v>5.2367033905808703E-3</v>
      </c>
      <c r="Z43" s="55">
        <f t="shared" si="15"/>
        <v>-3.6666597896288771E-5</v>
      </c>
      <c r="AA43" s="41">
        <f t="shared" si="16"/>
        <v>0</v>
      </c>
      <c r="AB43">
        <f t="shared" si="17"/>
        <v>0</v>
      </c>
      <c r="AC43">
        <f t="shared" si="18"/>
        <v>-3.6666597896288771E-5</v>
      </c>
      <c r="AD43">
        <f t="shared" si="19"/>
        <v>0.40217391304347827</v>
      </c>
      <c r="AE43">
        <f t="shared" si="20"/>
        <v>0</v>
      </c>
      <c r="AF43">
        <f t="shared" si="21"/>
        <v>3.1362640537015089E-2</v>
      </c>
      <c r="AG43" s="45">
        <f t="shared" si="22"/>
        <v>0</v>
      </c>
      <c r="AH43" s="45">
        <f>IF(E43=1,ABS(P43-D43)*10000,0)</f>
        <v>2.1467203015212988E-13</v>
      </c>
    </row>
    <row r="44" spans="1:34" x14ac:dyDescent="0.2">
      <c r="A44">
        <v>13</v>
      </c>
      <c r="B44">
        <f t="shared" si="0"/>
        <v>6.5</v>
      </c>
      <c r="C44">
        <f t="shared" si="1"/>
        <v>7</v>
      </c>
      <c r="D44" s="43">
        <f>INDEX(Curves!$E$5:$E$34,C44)/10000</f>
        <v>2.3999999999999998E-3</v>
      </c>
      <c r="E44">
        <f t="shared" si="2"/>
        <v>1</v>
      </c>
      <c r="F44" s="54">
        <f>Curves!W18</f>
        <v>0.80259912594167193</v>
      </c>
      <c r="G44" s="54">
        <f>Curves!X18</f>
        <v>1.7054570807289338E-2</v>
      </c>
      <c r="H44">
        <f>N43+D44*O43</f>
        <v>0.2012152169825322</v>
      </c>
      <c r="I44">
        <f>F45*M43*((G45+D44*$B$5+1)-$B$4)</f>
        <v>0.48097071040046285</v>
      </c>
      <c r="J44">
        <f>M43*(F44*((G44+D44*$B$5)-$B$4)+F45*$B$4)</f>
        <v>9.1362881964058233E-3</v>
      </c>
      <c r="K44">
        <f>H44+F44*M43*$B$4-1</f>
        <v>-0.48229802656794973</v>
      </c>
      <c r="L44" s="44">
        <f>IF(E44=1,-2*LN((-J44+SQRT(J44^2-4*I44*K44))/(2*I44)),L43)</f>
        <v>1.6213217736498132E-2</v>
      </c>
      <c r="M44" s="44">
        <f t="shared" si="3"/>
        <v>0.97785894355289937</v>
      </c>
      <c r="N44">
        <f t="shared" si="4"/>
        <v>0.2042260025178553</v>
      </c>
      <c r="O44">
        <f t="shared" si="5"/>
        <v>5.7796621848053205</v>
      </c>
      <c r="P44" s="43"/>
      <c r="Q44" s="45">
        <f t="shared" si="6"/>
        <v>0.78260869565217395</v>
      </c>
      <c r="R44" s="45">
        <f t="shared" si="7"/>
        <v>2.1739130434782608E-2</v>
      </c>
      <c r="S44" s="45">
        <f t="shared" si="8"/>
        <v>0</v>
      </c>
      <c r="T44">
        <f t="shared" si="9"/>
        <v>0</v>
      </c>
      <c r="U44" s="44">
        <f t="shared" si="10"/>
        <v>0.30710689567427102</v>
      </c>
      <c r="V44">
        <f t="shared" si="11"/>
        <v>0.99192616107459752</v>
      </c>
      <c r="W44" s="43">
        <f t="shared" si="12"/>
        <v>1.0045100952845503E-2</v>
      </c>
      <c r="X44" s="43">
        <f t="shared" si="13"/>
        <v>3.4109141614578675E-2</v>
      </c>
      <c r="Y44" s="43">
        <f t="shared" si="14"/>
        <v>1.0045100952845503E-2</v>
      </c>
      <c r="Z44" s="55">
        <f t="shared" si="15"/>
        <v>1.4418978785056945E-3</v>
      </c>
      <c r="AA44" s="41">
        <f t="shared" si="16"/>
        <v>0</v>
      </c>
      <c r="AB44">
        <f t="shared" si="17"/>
        <v>0</v>
      </c>
      <c r="AC44">
        <f t="shared" si="18"/>
        <v>1.4418978785056945E-3</v>
      </c>
      <c r="AD44">
        <f t="shared" si="19"/>
        <v>0.39130434782608697</v>
      </c>
      <c r="AE44">
        <f t="shared" si="20"/>
        <v>0</v>
      </c>
      <c r="AF44">
        <f t="shared" si="21"/>
        <v>3.1179439808078562E-2</v>
      </c>
      <c r="AG44" s="45">
        <f t="shared" si="22"/>
        <v>0</v>
      </c>
      <c r="AH44" s="45">
        <v>0</v>
      </c>
    </row>
    <row r="45" spans="1:34" x14ac:dyDescent="0.2">
      <c r="A45">
        <v>14</v>
      </c>
      <c r="B45">
        <f t="shared" si="0"/>
        <v>7</v>
      </c>
      <c r="C45">
        <f t="shared" si="1"/>
        <v>7</v>
      </c>
      <c r="D45" s="43">
        <f>INDEX(Curves!$E$5:$E$34,C45)/10000</f>
        <v>2.3999999999999998E-3</v>
      </c>
      <c r="E45">
        <f t="shared" si="2"/>
        <v>1</v>
      </c>
      <c r="F45" s="54">
        <f>Curves!W19</f>
        <v>0.78914067049972247</v>
      </c>
      <c r="G45" s="54">
        <f>Curves!X19</f>
        <v>1.705457080728956E-2</v>
      </c>
      <c r="L45" s="44">
        <f>L44</f>
        <v>1.6213217736498132E-2</v>
      </c>
      <c r="M45" s="44">
        <f t="shared" si="3"/>
        <v>0.96996386795088907</v>
      </c>
      <c r="N45">
        <f t="shared" si="4"/>
        <v>0.21977234811665988</v>
      </c>
      <c r="O45">
        <f t="shared" si="5"/>
        <v>6.1623811533629551</v>
      </c>
      <c r="P45" s="43">
        <f>IF(E45=1,(1-N45-F45*M45)/O45,"")</f>
        <v>2.4000000000000219E-3</v>
      </c>
      <c r="Q45" s="45">
        <f t="shared" si="6"/>
        <v>0.76086956521739135</v>
      </c>
      <c r="R45" s="45">
        <f t="shared" si="7"/>
        <v>2.1739130434782608E-2</v>
      </c>
      <c r="S45" s="45">
        <f t="shared" si="8"/>
        <v>0</v>
      </c>
      <c r="T45">
        <f t="shared" si="9"/>
        <v>0</v>
      </c>
      <c r="U45" s="44">
        <f t="shared" si="10"/>
        <v>0.29119921520689579</v>
      </c>
      <c r="V45">
        <f t="shared" si="11"/>
        <v>0.99192616107459752</v>
      </c>
      <c r="W45" s="43">
        <f t="shared" si="12"/>
        <v>1.0045100952845507E-2</v>
      </c>
      <c r="X45" s="43">
        <f t="shared" si="13"/>
        <v>3.4109141614579119E-2</v>
      </c>
      <c r="Y45" s="43">
        <f t="shared" si="14"/>
        <v>1.0045100952845507E-2</v>
      </c>
      <c r="Z45" s="55">
        <f t="shared" si="15"/>
        <v>1.3672097127857604E-3</v>
      </c>
      <c r="AA45" s="41">
        <f t="shared" si="16"/>
        <v>0</v>
      </c>
      <c r="AB45">
        <f t="shared" si="17"/>
        <v>0</v>
      </c>
      <c r="AC45">
        <f t="shared" si="18"/>
        <v>1.3672097127857604E-3</v>
      </c>
      <c r="AD45">
        <f t="shared" si="19"/>
        <v>0.38043478260869568</v>
      </c>
      <c r="AE45">
        <f t="shared" si="20"/>
        <v>0</v>
      </c>
      <c r="AF45">
        <f t="shared" si="21"/>
        <v>3.002661217251839E-2</v>
      </c>
      <c r="AG45" s="45">
        <f t="shared" si="22"/>
        <v>0</v>
      </c>
      <c r="AH45" s="45">
        <f>IF(E45=1,ABS(P45-D45)*10000,0)</f>
        <v>2.211772431870429E-13</v>
      </c>
    </row>
    <row r="46" spans="1:34" x14ac:dyDescent="0.2">
      <c r="A46">
        <v>15</v>
      </c>
      <c r="B46">
        <f t="shared" si="0"/>
        <v>7.5</v>
      </c>
      <c r="C46">
        <f t="shared" si="1"/>
        <v>8</v>
      </c>
      <c r="D46" s="43">
        <f>INDEX(Curves!$E$5:$E$34,C46)/10000</f>
        <v>3.0000000000000001E-3</v>
      </c>
      <c r="E46">
        <f t="shared" si="2"/>
        <v>1</v>
      </c>
      <c r="F46" s="54">
        <f>Curves!W20</f>
        <v>0.77556900558767727</v>
      </c>
      <c r="G46" s="54">
        <f>Curves!X20</f>
        <v>1.7498977930095805E-2</v>
      </c>
      <c r="H46">
        <f>N45+D46*O45</f>
        <v>0.23825949157674875</v>
      </c>
      <c r="I46">
        <f>F47*M45*((G47+D46*$B$5+1)-$B$4)</f>
        <v>0.4576484036596104</v>
      </c>
      <c r="J46">
        <f>M45*(F46*((G46+D46*$B$5)-$B$4)+F47*$B$4)</f>
        <v>9.1173837402125941E-3</v>
      </c>
      <c r="K46">
        <f>H46+F46*M45*$B$4-1</f>
        <v>-0.46083094341419195</v>
      </c>
      <c r="L46" s="44">
        <f>IF(E46=1,-2*LN((-J46+SQRT(J46^2-4*I46*K46))/(2*I46)),L45)</f>
        <v>1.2922960697922202E-2</v>
      </c>
      <c r="M46" s="44">
        <f t="shared" si="3"/>
        <v>0.9637166702867993</v>
      </c>
      <c r="N46">
        <f t="shared" si="4"/>
        <v>0.23478964098796329</v>
      </c>
      <c r="O46">
        <f t="shared" si="5"/>
        <v>6.5360955431842553</v>
      </c>
      <c r="P46" s="43"/>
      <c r="Q46" s="45">
        <f t="shared" si="6"/>
        <v>0.73913043478260865</v>
      </c>
      <c r="R46" s="45">
        <f t="shared" si="7"/>
        <v>2.1739130434782608E-2</v>
      </c>
      <c r="S46" s="45">
        <f t="shared" si="8"/>
        <v>0</v>
      </c>
      <c r="T46">
        <f t="shared" si="9"/>
        <v>0</v>
      </c>
      <c r="U46" s="44">
        <f t="shared" si="10"/>
        <v>0.27622367943313492</v>
      </c>
      <c r="V46">
        <f t="shared" si="11"/>
        <v>0.99355935012580687</v>
      </c>
      <c r="W46" s="43">
        <f t="shared" si="12"/>
        <v>8.0057516725422929E-3</v>
      </c>
      <c r="X46" s="43">
        <f t="shared" si="13"/>
        <v>3.499795586019161E-2</v>
      </c>
      <c r="Y46" s="43">
        <f t="shared" si="14"/>
        <v>8.0057516725422929E-3</v>
      </c>
      <c r="Z46" s="55">
        <f t="shared" si="15"/>
        <v>7.3358149865033432E-4</v>
      </c>
      <c r="AA46" s="41">
        <f t="shared" si="16"/>
        <v>0</v>
      </c>
      <c r="AB46">
        <f t="shared" si="17"/>
        <v>0</v>
      </c>
      <c r="AC46">
        <f t="shared" si="18"/>
        <v>7.3358149865033432E-4</v>
      </c>
      <c r="AD46">
        <f t="shared" si="19"/>
        <v>0.36956521739130432</v>
      </c>
      <c r="AE46">
        <f t="shared" si="20"/>
        <v>0</v>
      </c>
      <c r="AF46">
        <f t="shared" si="21"/>
        <v>2.882598662555241E-2</v>
      </c>
      <c r="AG46" s="45">
        <f t="shared" si="22"/>
        <v>0</v>
      </c>
      <c r="AH46" s="45">
        <v>0</v>
      </c>
    </row>
    <row r="47" spans="1:34" x14ac:dyDescent="0.2">
      <c r="A47">
        <v>16</v>
      </c>
      <c r="B47">
        <f t="shared" si="0"/>
        <v>8</v>
      </c>
      <c r="C47">
        <f t="shared" si="1"/>
        <v>8</v>
      </c>
      <c r="D47" s="43">
        <f>INDEX(Curves!$E$5:$E$34,C47)/10000</f>
        <v>3.0000000000000001E-3</v>
      </c>
      <c r="E47">
        <f t="shared" si="2"/>
        <v>1</v>
      </c>
      <c r="F47" s="54">
        <f>Curves!W21</f>
        <v>0.76223074657570844</v>
      </c>
      <c r="G47" s="54">
        <f>Curves!X21</f>
        <v>1.7498977930095805E-2</v>
      </c>
      <c r="L47" s="44">
        <f>L46</f>
        <v>1.2922960697922202E-2</v>
      </c>
      <c r="M47" s="44">
        <f t="shared" si="3"/>
        <v>0.95750970863555884</v>
      </c>
      <c r="N47">
        <f t="shared" si="4"/>
        <v>0.24945360829357585</v>
      </c>
      <c r="O47">
        <f t="shared" si="5"/>
        <v>6.9010172132176413</v>
      </c>
      <c r="P47" s="43">
        <f>IF(E47=1,(1-N47-F47*M47)/O47,"")</f>
        <v>3.0000000000000148E-3</v>
      </c>
      <c r="Q47" s="45">
        <f t="shared" si="6"/>
        <v>0.71739130434782616</v>
      </c>
      <c r="R47" s="45">
        <f t="shared" si="7"/>
        <v>2.1739130434782608E-2</v>
      </c>
      <c r="S47" s="45">
        <f t="shared" si="8"/>
        <v>0</v>
      </c>
      <c r="T47">
        <f t="shared" si="9"/>
        <v>0</v>
      </c>
      <c r="U47" s="44">
        <f t="shared" si="10"/>
        <v>0.26179163285003748</v>
      </c>
      <c r="V47">
        <f t="shared" si="11"/>
        <v>0.99355935012580687</v>
      </c>
      <c r="W47" s="43">
        <f t="shared" si="12"/>
        <v>8.0057516725422929E-3</v>
      </c>
      <c r="X47" s="43">
        <f t="shared" si="13"/>
        <v>3.499795586019161E-2</v>
      </c>
      <c r="Y47" s="43">
        <f t="shared" si="14"/>
        <v>8.0057516725422929E-3</v>
      </c>
      <c r="Z47" s="55">
        <f t="shared" si="15"/>
        <v>6.9525356679906499E-4</v>
      </c>
      <c r="AA47" s="41">
        <f t="shared" si="16"/>
        <v>0</v>
      </c>
      <c r="AB47">
        <f t="shared" si="17"/>
        <v>0</v>
      </c>
      <c r="AC47">
        <f t="shared" si="18"/>
        <v>6.9525356679906499E-4</v>
      </c>
      <c r="AD47">
        <f t="shared" si="19"/>
        <v>0.35869565217391308</v>
      </c>
      <c r="AE47">
        <f t="shared" si="20"/>
        <v>0</v>
      </c>
      <c r="AF47">
        <f t="shared" si="21"/>
        <v>2.7786547434703907E-2</v>
      </c>
      <c r="AG47" s="45">
        <f t="shared" si="22"/>
        <v>0</v>
      </c>
      <c r="AH47" s="45">
        <f>IF(E47=1,ABS(P47-D47)*10000,0)</f>
        <v>1.474514954580286E-13</v>
      </c>
    </row>
    <row r="48" spans="1:34" x14ac:dyDescent="0.2">
      <c r="A48">
        <v>17</v>
      </c>
      <c r="B48">
        <f t="shared" si="0"/>
        <v>8.5</v>
      </c>
      <c r="C48">
        <f t="shared" si="1"/>
        <v>9</v>
      </c>
      <c r="D48" s="43">
        <f>INDEX(Curves!$E$5:$E$34,C48)/10000</f>
        <v>3.7000000000000002E-3</v>
      </c>
      <c r="E48">
        <f t="shared" si="2"/>
        <v>1</v>
      </c>
      <c r="F48" s="54">
        <f>Curves!W22</f>
        <v>0.74903791123182406</v>
      </c>
      <c r="G48" s="54">
        <f>Curves!X22</f>
        <v>1.761304087023885E-2</v>
      </c>
      <c r="H48">
        <f>N47+D48*O47</f>
        <v>0.27498737198248113</v>
      </c>
      <c r="I48">
        <f>F49*M47*((G49+D48*$B$5+1)-$B$4)</f>
        <v>0.43659596904738929</v>
      </c>
      <c r="J48">
        <f>M47*(F48*((G48+D48*$B$5)-$B$4)+F49*$B$4)</f>
        <v>8.993657921565857E-3</v>
      </c>
      <c r="K48">
        <f>H48+F48*M47*$B$4-1</f>
        <v>-0.4381281991612902</v>
      </c>
      <c r="L48" s="44">
        <f>IF(E48=1,-2*LN((-J48+SQRT(J48^2-4*I48*K48))/(2*I48)),L47)</f>
        <v>1.7059735761027723E-2</v>
      </c>
      <c r="M48" s="44">
        <f t="shared" si="3"/>
        <v>0.94937701205055236</v>
      </c>
      <c r="N48">
        <f t="shared" si="4"/>
        <v>0.264415262117914</v>
      </c>
      <c r="O48">
        <f t="shared" si="5"/>
        <v>7.2565769002565697</v>
      </c>
      <c r="P48" s="43"/>
      <c r="Q48" s="45">
        <f t="shared" si="6"/>
        <v>0.69565217391304346</v>
      </c>
      <c r="R48" s="45">
        <f t="shared" si="7"/>
        <v>2.1739130434782608E-2</v>
      </c>
      <c r="S48" s="45">
        <f t="shared" si="8"/>
        <v>0</v>
      </c>
      <c r="T48">
        <f t="shared" si="9"/>
        <v>0</v>
      </c>
      <c r="U48" s="44">
        <f t="shared" si="10"/>
        <v>0.24734586924447163</v>
      </c>
      <c r="V48">
        <f t="shared" si="11"/>
        <v>0.99150640822577607</v>
      </c>
      <c r="W48" s="43">
        <f t="shared" si="12"/>
        <v>1.058138000938543E-2</v>
      </c>
      <c r="X48" s="43">
        <f t="shared" si="13"/>
        <v>3.5226081740477699E-2</v>
      </c>
      <c r="Y48" s="43">
        <f t="shared" si="14"/>
        <v>1.058138000938543E-2</v>
      </c>
      <c r="Z48" s="55">
        <f t="shared" si="15"/>
        <v>1.2939602357695914E-3</v>
      </c>
      <c r="AA48" s="41">
        <f t="shared" si="16"/>
        <v>0</v>
      </c>
      <c r="AB48">
        <f t="shared" si="17"/>
        <v>0</v>
      </c>
      <c r="AC48">
        <f t="shared" si="18"/>
        <v>1.2939602357695914E-3</v>
      </c>
      <c r="AD48">
        <f t="shared" si="19"/>
        <v>0.34782608695652173</v>
      </c>
      <c r="AE48">
        <f t="shared" si="20"/>
        <v>0</v>
      </c>
      <c r="AF48">
        <f t="shared" si="21"/>
        <v>2.719052423647262E-2</v>
      </c>
      <c r="AG48" s="45">
        <f t="shared" si="22"/>
        <v>0</v>
      </c>
      <c r="AH48" s="45">
        <v>0</v>
      </c>
    </row>
    <row r="49" spans="1:34" x14ac:dyDescent="0.2">
      <c r="A49">
        <v>18</v>
      </c>
      <c r="B49">
        <f t="shared" si="0"/>
        <v>9</v>
      </c>
      <c r="C49">
        <f t="shared" si="1"/>
        <v>9</v>
      </c>
      <c r="D49" s="43">
        <f>INDEX(Curves!$E$5:$E$34,C49)/10000</f>
        <v>3.7000000000000002E-3</v>
      </c>
      <c r="E49">
        <f t="shared" si="2"/>
        <v>1</v>
      </c>
      <c r="F49" s="54">
        <f>Curves!W23</f>
        <v>0.7360734200018354</v>
      </c>
      <c r="G49" s="54">
        <f>Curves!X23</f>
        <v>1.7613040870238628E-2</v>
      </c>
      <c r="L49" s="44">
        <f>L48</f>
        <v>1.7059735761027723E-2</v>
      </c>
      <c r="M49" s="44">
        <f t="shared" si="3"/>
        <v>0.94131339127036251</v>
      </c>
      <c r="N49">
        <f t="shared" si="4"/>
        <v>0.27899307809381835</v>
      </c>
      <c r="O49">
        <f t="shared" si="5"/>
        <v>7.6030147838595203</v>
      </c>
      <c r="P49" s="43">
        <f>IF(E49=1,(1-N49-F49*M49)/O49,"")</f>
        <v>3.6999999999999767E-3</v>
      </c>
      <c r="Q49" s="45">
        <f t="shared" si="6"/>
        <v>0.67391304347826086</v>
      </c>
      <c r="R49" s="45">
        <f t="shared" si="7"/>
        <v>2.1739130434782608E-2</v>
      </c>
      <c r="S49" s="45">
        <f t="shared" si="8"/>
        <v>0</v>
      </c>
      <c r="T49">
        <f t="shared" si="9"/>
        <v>0</v>
      </c>
      <c r="U49" s="44">
        <f t="shared" si="10"/>
        <v>0.23346900851503205</v>
      </c>
      <c r="V49">
        <f t="shared" si="11"/>
        <v>0.99150640822577607</v>
      </c>
      <c r="W49" s="43">
        <f t="shared" si="12"/>
        <v>1.0581380009385426E-2</v>
      </c>
      <c r="X49" s="43">
        <f t="shared" si="13"/>
        <v>3.5226081740477255E-2</v>
      </c>
      <c r="Y49" s="43">
        <f t="shared" si="14"/>
        <v>1.0581380009385426E-2</v>
      </c>
      <c r="Z49" s="55">
        <f t="shared" si="15"/>
        <v>1.2213651039565745E-3</v>
      </c>
      <c r="AA49" s="41">
        <f t="shared" si="16"/>
        <v>0</v>
      </c>
      <c r="AB49">
        <f t="shared" si="17"/>
        <v>0</v>
      </c>
      <c r="AC49">
        <f t="shared" si="18"/>
        <v>1.2213651039565745E-3</v>
      </c>
      <c r="AD49">
        <f t="shared" si="19"/>
        <v>0.33695652173913043</v>
      </c>
      <c r="AE49">
        <f t="shared" si="20"/>
        <v>0</v>
      </c>
      <c r="AF49">
        <f t="shared" si="21"/>
        <v>2.6135756205532313E-2</v>
      </c>
      <c r="AG49" s="45">
        <f t="shared" si="22"/>
        <v>0</v>
      </c>
      <c r="AH49" s="45">
        <f>IF(E49=1,ABS(P49-D49)*10000,0)</f>
        <v>2.3418766925686896E-13</v>
      </c>
    </row>
    <row r="50" spans="1:34" x14ac:dyDescent="0.2">
      <c r="A50">
        <v>19</v>
      </c>
      <c r="B50">
        <f t="shared" si="0"/>
        <v>9.5</v>
      </c>
      <c r="C50">
        <f t="shared" si="1"/>
        <v>10</v>
      </c>
      <c r="D50" s="43">
        <f>INDEX(Curves!$E$5:$E$34,C50)/10000</f>
        <v>4.1999999999999997E-3</v>
      </c>
      <c r="E50">
        <f t="shared" si="2"/>
        <v>1</v>
      </c>
      <c r="F50" s="54">
        <f>Curves!W24</f>
        <v>0.72325053620339352</v>
      </c>
      <c r="G50" s="54">
        <f>Curves!X24</f>
        <v>1.7729518550727796E-2</v>
      </c>
      <c r="H50">
        <f>N49+D50*O49</f>
        <v>0.31092574018602831</v>
      </c>
      <c r="I50">
        <f>F51*M49*((G51+D50*$B$5+1)-$B$4)</f>
        <v>0.41463206568830491</v>
      </c>
      <c r="J50">
        <f>M49*(F50*((G50+D50*$B$5)-$B$4)+F51*$B$4)</f>
        <v>8.7560121064172401E-3</v>
      </c>
      <c r="K50">
        <f>H50+F50*M49*$B$4-1</f>
        <v>-0.41675209382528189</v>
      </c>
      <c r="L50" s="44">
        <f>IF(E50=1,-2*LN((-J50+SQRT(J50^2-4*I50*K50))/(2*I50)),L49)</f>
        <v>1.5963368807742146E-2</v>
      </c>
      <c r="M50" s="44">
        <f t="shared" si="3"/>
        <v>0.93383002950074756</v>
      </c>
      <c r="N50">
        <f t="shared" si="4"/>
        <v>0.29313241021459319</v>
      </c>
      <c r="O50">
        <f t="shared" si="5"/>
        <v>7.9407113186391438</v>
      </c>
      <c r="P50" s="43"/>
      <c r="Q50" s="45">
        <f t="shared" si="6"/>
        <v>0.65217391304347827</v>
      </c>
      <c r="R50" s="45">
        <f t="shared" si="7"/>
        <v>2.1739130434782608E-2</v>
      </c>
      <c r="S50" s="45">
        <f t="shared" si="8"/>
        <v>0</v>
      </c>
      <c r="T50">
        <f t="shared" si="9"/>
        <v>0</v>
      </c>
      <c r="U50" s="44">
        <f t="shared" si="10"/>
        <v>0.22023687050844995</v>
      </c>
      <c r="V50">
        <f t="shared" si="11"/>
        <v>0.99205008465935485</v>
      </c>
      <c r="W50" s="43">
        <f t="shared" si="12"/>
        <v>9.9005029117699324E-3</v>
      </c>
      <c r="X50" s="43">
        <f t="shared" si="13"/>
        <v>3.5459037101455593E-2</v>
      </c>
      <c r="Y50" s="43">
        <f t="shared" si="14"/>
        <v>9.9005029117699324E-3</v>
      </c>
      <c r="Z50" s="55">
        <f t="shared" si="15"/>
        <v>1.002188520527799E-3</v>
      </c>
      <c r="AA50" s="41">
        <f t="shared" si="16"/>
        <v>0</v>
      </c>
      <c r="AB50">
        <f t="shared" si="17"/>
        <v>0</v>
      </c>
      <c r="AC50">
        <f t="shared" si="18"/>
        <v>1.002188520527799E-3</v>
      </c>
      <c r="AD50">
        <f t="shared" si="19"/>
        <v>0.32608695652173914</v>
      </c>
      <c r="AE50">
        <f t="shared" si="20"/>
        <v>0</v>
      </c>
      <c r="AF50">
        <f t="shared" si="21"/>
        <v>2.5082028848143943E-2</v>
      </c>
      <c r="AG50" s="45">
        <f t="shared" si="22"/>
        <v>0</v>
      </c>
      <c r="AH50" s="45">
        <v>0</v>
      </c>
    </row>
    <row r="51" spans="1:34" x14ac:dyDescent="0.2">
      <c r="A51">
        <v>20</v>
      </c>
      <c r="B51">
        <f t="shared" si="0"/>
        <v>10</v>
      </c>
      <c r="C51">
        <f t="shared" si="1"/>
        <v>10</v>
      </c>
      <c r="D51" s="43">
        <f>INDEX(Curves!$E$5:$E$34,C51)/10000</f>
        <v>4.1999999999999997E-3</v>
      </c>
      <c r="E51">
        <f t="shared" si="2"/>
        <v>1</v>
      </c>
      <c r="F51" s="54">
        <f>Curves!W25</f>
        <v>0.71065103548663933</v>
      </c>
      <c r="G51" s="54">
        <f>Curves!X25</f>
        <v>1.7729518550727574E-2</v>
      </c>
      <c r="L51" s="44">
        <f>L50</f>
        <v>1.5963368807742146E-2</v>
      </c>
      <c r="M51" s="44">
        <f t="shared" si="3"/>
        <v>0.92640615982366448</v>
      </c>
      <c r="N51">
        <f t="shared" si="4"/>
        <v>0.30691497755863167</v>
      </c>
      <c r="O51">
        <f t="shared" si="5"/>
        <v>8.2698870670190878</v>
      </c>
      <c r="P51" s="43">
        <f>IF(E51=1,(1-N51-F51*M51)/O51,"")</f>
        <v>4.1999999999999824E-3</v>
      </c>
      <c r="Q51" s="45">
        <f t="shared" si="6"/>
        <v>0.63043478260869568</v>
      </c>
      <c r="R51" s="45">
        <f t="shared" si="7"/>
        <v>2.1739130434782608E-2</v>
      </c>
      <c r="S51" s="45">
        <f t="shared" si="8"/>
        <v>0</v>
      </c>
      <c r="T51">
        <f t="shared" si="9"/>
        <v>0</v>
      </c>
      <c r="U51" s="44">
        <f t="shared" si="10"/>
        <v>0.20752384136996477</v>
      </c>
      <c r="V51">
        <f t="shared" si="11"/>
        <v>0.99205008465935485</v>
      </c>
      <c r="W51" s="43">
        <f t="shared" si="12"/>
        <v>9.9005029117699289E-3</v>
      </c>
      <c r="X51" s="43">
        <f t="shared" si="13"/>
        <v>3.5459037101455149E-2</v>
      </c>
      <c r="Y51" s="43">
        <f t="shared" si="14"/>
        <v>9.9005029117699289E-3</v>
      </c>
      <c r="Z51" s="55">
        <f t="shared" si="15"/>
        <v>9.4433784441570561E-4</v>
      </c>
      <c r="AA51" s="41">
        <f t="shared" si="16"/>
        <v>0</v>
      </c>
      <c r="AB51">
        <f t="shared" si="17"/>
        <v>0</v>
      </c>
      <c r="AC51">
        <f t="shared" si="18"/>
        <v>9.4433784441570561E-4</v>
      </c>
      <c r="AD51">
        <f t="shared" si="19"/>
        <v>0.31521739130434784</v>
      </c>
      <c r="AE51">
        <f t="shared" si="20"/>
        <v>0</v>
      </c>
      <c r="AF51">
        <f t="shared" si="21"/>
        <v>2.4111251458655489E-2</v>
      </c>
      <c r="AG51" s="45">
        <f t="shared" si="22"/>
        <v>0</v>
      </c>
      <c r="AH51" s="45">
        <f>IF(E51=1,ABS(P51-D51)*10000,0)</f>
        <v>1.7347234759768071E-13</v>
      </c>
    </row>
    <row r="52" spans="1:34" x14ac:dyDescent="0.2">
      <c r="A52">
        <v>21</v>
      </c>
      <c r="B52">
        <f t="shared" si="0"/>
        <v>10.5</v>
      </c>
      <c r="C52">
        <f t="shared" si="1"/>
        <v>11</v>
      </c>
      <c r="D52" s="43">
        <f>INDEX(Curves!$E$5:$E$34,C52)/10000</f>
        <v>4.5999999999999999E-3</v>
      </c>
      <c r="E52">
        <f t="shared" si="2"/>
        <v>1</v>
      </c>
      <c r="F52" s="54">
        <f>Curves!W26</f>
        <v>0.69827814352632156</v>
      </c>
      <c r="G52" s="54">
        <f>Curves!X26</f>
        <v>1.771914540792352E-2</v>
      </c>
      <c r="H52">
        <f>N51+D52*O51</f>
        <v>0.34495645806691949</v>
      </c>
      <c r="I52">
        <f>F53*M51*((G53+D52*$B$5+1)-$B$4)</f>
        <v>0.39410054757770552</v>
      </c>
      <c r="J52">
        <f>M51*(F52*((G52+D52*$B$5)-$B$4)+F53*$B$4)</f>
        <v>8.4450656658983745E-3</v>
      </c>
      <c r="K52">
        <f>H52+F52*M51*$B$4-1</f>
        <v>-0.39628787255987363</v>
      </c>
      <c r="L52" s="44">
        <f>IF(E52=1,-2*LN((-J52+SQRT(J52^2-4*I52*K52))/(2*I52)),L51)</f>
        <v>1.5834257182575195E-2</v>
      </c>
      <c r="M52" s="44">
        <f t="shared" si="3"/>
        <v>0.91910064065560459</v>
      </c>
      <c r="N52">
        <f t="shared" si="4"/>
        <v>0.32032742423098987</v>
      </c>
      <c r="O52">
        <f t="shared" si="5"/>
        <v>8.5907810115545118</v>
      </c>
      <c r="P52" s="43"/>
      <c r="Q52" s="45">
        <f t="shared" si="6"/>
        <v>0.60869565217391308</v>
      </c>
      <c r="R52" s="45">
        <f t="shared" si="7"/>
        <v>2.1739130434782608E-2</v>
      </c>
      <c r="S52" s="45">
        <f t="shared" si="8"/>
        <v>0</v>
      </c>
      <c r="T52">
        <f t="shared" si="9"/>
        <v>0</v>
      </c>
      <c r="U52" s="44">
        <f t="shared" si="10"/>
        <v>0.19532674884764953</v>
      </c>
      <c r="V52">
        <f t="shared" si="11"/>
        <v>0.99211412932589904</v>
      </c>
      <c r="W52" s="43">
        <f t="shared" si="12"/>
        <v>9.8199454067101483E-3</v>
      </c>
      <c r="X52" s="43">
        <f t="shared" si="13"/>
        <v>3.543829081584704E-2</v>
      </c>
      <c r="Y52" s="43">
        <f t="shared" si="14"/>
        <v>9.8199454067101483E-3</v>
      </c>
      <c r="Z52" s="55">
        <f t="shared" si="15"/>
        <v>8.7309990381917782E-4</v>
      </c>
      <c r="AA52" s="41">
        <f t="shared" si="16"/>
        <v>0</v>
      </c>
      <c r="AB52">
        <f t="shared" si="17"/>
        <v>0</v>
      </c>
      <c r="AC52">
        <f t="shared" si="18"/>
        <v>8.7309990381917782E-4</v>
      </c>
      <c r="AD52">
        <f t="shared" si="19"/>
        <v>0.30434782608695654</v>
      </c>
      <c r="AE52">
        <f t="shared" si="20"/>
        <v>0</v>
      </c>
      <c r="AF52">
        <f t="shared" si="21"/>
        <v>2.3161006712788774E-2</v>
      </c>
      <c r="AG52" s="45">
        <f t="shared" si="22"/>
        <v>0</v>
      </c>
      <c r="AH52" s="45">
        <v>0</v>
      </c>
    </row>
    <row r="53" spans="1:34" x14ac:dyDescent="0.2">
      <c r="A53">
        <v>22</v>
      </c>
      <c r="B53">
        <f t="shared" si="0"/>
        <v>11</v>
      </c>
      <c r="C53">
        <f t="shared" si="1"/>
        <v>11</v>
      </c>
      <c r="D53" s="43">
        <f>INDEX(Curves!$E$5:$E$34,C53)/10000</f>
        <v>4.5999999999999999E-3</v>
      </c>
      <c r="E53">
        <f t="shared" si="2"/>
        <v>1</v>
      </c>
      <c r="F53" s="54">
        <f>Curves!W27</f>
        <v>0.68612067157922718</v>
      </c>
      <c r="G53" s="54">
        <f>Curves!X27</f>
        <v>1.7719145407923298E-2</v>
      </c>
      <c r="L53" s="44">
        <f>L52</f>
        <v>1.5834257182575195E-2</v>
      </c>
      <c r="M53" s="44">
        <f t="shared" si="3"/>
        <v>0.91185273186691118</v>
      </c>
      <c r="N53">
        <f t="shared" si="4"/>
        <v>0.33340242425680044</v>
      </c>
      <c r="O53">
        <f t="shared" si="5"/>
        <v>8.9036015159394513</v>
      </c>
      <c r="P53" s="43">
        <f>IF(E53=1,(1-N53-F53*M53)/O53,"")</f>
        <v>4.6000000000000034E-3</v>
      </c>
      <c r="Q53" s="45">
        <f t="shared" si="6"/>
        <v>0.58695652173913038</v>
      </c>
      <c r="R53" s="45">
        <f t="shared" si="7"/>
        <v>2.1739130434782608E-2</v>
      </c>
      <c r="S53" s="45">
        <f t="shared" si="8"/>
        <v>0</v>
      </c>
      <c r="T53">
        <f t="shared" si="9"/>
        <v>0</v>
      </c>
      <c r="U53" s="44">
        <f t="shared" si="10"/>
        <v>0.18361203518246419</v>
      </c>
      <c r="V53">
        <f t="shared" si="11"/>
        <v>0.99211412932589904</v>
      </c>
      <c r="W53" s="43">
        <f t="shared" si="12"/>
        <v>9.8199454067101431E-3</v>
      </c>
      <c r="X53" s="43">
        <f t="shared" si="13"/>
        <v>3.5438290815846596E-2</v>
      </c>
      <c r="Y53" s="43">
        <f t="shared" si="14"/>
        <v>9.8199454067101431E-3</v>
      </c>
      <c r="Z53" s="55">
        <f t="shared" si="15"/>
        <v>8.2073577328055705E-4</v>
      </c>
      <c r="AA53" s="41">
        <f t="shared" si="16"/>
        <v>0</v>
      </c>
      <c r="AB53">
        <f t="shared" si="17"/>
        <v>0</v>
      </c>
      <c r="AC53">
        <f t="shared" si="18"/>
        <v>8.2073577328055705E-4</v>
      </c>
      <c r="AD53">
        <f t="shared" si="19"/>
        <v>0.29347826086956519</v>
      </c>
      <c r="AE53">
        <f t="shared" si="20"/>
        <v>0</v>
      </c>
      <c r="AF53">
        <f t="shared" si="21"/>
        <v>2.2257672420112368E-2</v>
      </c>
      <c r="AG53" s="45">
        <f t="shared" si="22"/>
        <v>0</v>
      </c>
      <c r="AH53" s="45">
        <f>IF(E53=1,ABS(P53-D53)*10000,0)</f>
        <v>3.4694469519536142E-14</v>
      </c>
    </row>
    <row r="54" spans="1:34" x14ac:dyDescent="0.2">
      <c r="A54">
        <v>23</v>
      </c>
      <c r="B54">
        <f t="shared" si="0"/>
        <v>11.5</v>
      </c>
      <c r="C54">
        <f t="shared" si="1"/>
        <v>12</v>
      </c>
      <c r="D54" s="43">
        <f>INDEX(Curves!$E$5:$E$34,C54)/10000</f>
        <v>5.1000000000000004E-3</v>
      </c>
      <c r="E54">
        <f t="shared" si="2"/>
        <v>1</v>
      </c>
      <c r="F54" s="54">
        <f>Curves!W28</f>
        <v>0.67411049452692384</v>
      </c>
      <c r="G54" s="54">
        <f>Curves!X28</f>
        <v>1.7816333004475604E-2</v>
      </c>
      <c r="H54">
        <f>N53+D54*O53</f>
        <v>0.37881079198809164</v>
      </c>
      <c r="I54">
        <f>F55*M53*((G55+D54*$B$5+1)-$B$4)</f>
        <v>0.37465764324419254</v>
      </c>
      <c r="J54">
        <f>M53*(F54*((G54+D54*$B$5)-$B$4)+F55*$B$4)</f>
        <v>8.2150460280414513E-3</v>
      </c>
      <c r="K54">
        <f>H54+F54*M53*$B$4-1</f>
        <v>-0.37531340960609638</v>
      </c>
      <c r="L54" s="44">
        <f>IF(E54=1,-2*LN((-J54+SQRT(J54^2-4*I54*K54))/(2*I54)),L53)</f>
        <v>2.0158427015247626E-2</v>
      </c>
      <c r="M54" s="44">
        <f t="shared" si="3"/>
        <v>0.90270813607851863</v>
      </c>
      <c r="N54">
        <f t="shared" si="4"/>
        <v>0.34670989599332308</v>
      </c>
      <c r="O54">
        <f t="shared" si="5"/>
        <v>9.2078640299521357</v>
      </c>
      <c r="P54" s="43"/>
      <c r="Q54" s="45">
        <f t="shared" si="6"/>
        <v>0.56521739130434789</v>
      </c>
      <c r="R54" s="45">
        <f t="shared" si="7"/>
        <v>2.1739130434782608E-2</v>
      </c>
      <c r="S54" s="45">
        <f t="shared" si="8"/>
        <v>0</v>
      </c>
      <c r="T54">
        <f t="shared" si="9"/>
        <v>0</v>
      </c>
      <c r="U54" s="44">
        <f t="shared" si="10"/>
        <v>0.17197446444195183</v>
      </c>
      <c r="V54">
        <f t="shared" si="11"/>
        <v>0.98997141153520474</v>
      </c>
      <c r="W54" s="43">
        <f t="shared" si="12"/>
        <v>1.2517181159651013E-2</v>
      </c>
      <c r="X54" s="43">
        <f t="shared" si="13"/>
        <v>3.5632666008951208E-2</v>
      </c>
      <c r="Y54" s="43">
        <f t="shared" si="14"/>
        <v>1.2517181159651013E-2</v>
      </c>
      <c r="Z54" s="55">
        <f t="shared" si="15"/>
        <v>1.2325721414894303E-3</v>
      </c>
      <c r="AA54" s="41">
        <f t="shared" si="16"/>
        <v>0</v>
      </c>
      <c r="AB54">
        <f t="shared" si="17"/>
        <v>0</v>
      </c>
      <c r="AC54">
        <f t="shared" si="18"/>
        <v>1.2325721414894303E-3</v>
      </c>
      <c r="AD54">
        <f t="shared" si="19"/>
        <v>0.28260869565217395</v>
      </c>
      <c r="AE54">
        <f t="shared" si="20"/>
        <v>0</v>
      </c>
      <c r="AF54">
        <f t="shared" si="21"/>
        <v>2.1670482801611331E-2</v>
      </c>
      <c r="AG54" s="45">
        <f t="shared" si="22"/>
        <v>0</v>
      </c>
      <c r="AH54" s="45">
        <v>0</v>
      </c>
    </row>
    <row r="55" spans="1:34" x14ac:dyDescent="0.2">
      <c r="A55">
        <v>24</v>
      </c>
      <c r="B55">
        <f t="shared" si="0"/>
        <v>12</v>
      </c>
      <c r="C55">
        <f t="shared" si="1"/>
        <v>12</v>
      </c>
      <c r="D55" s="43">
        <f>INDEX(Curves!$E$5:$E$34,C55)/10000</f>
        <v>5.1000000000000004E-3</v>
      </c>
      <c r="E55">
        <f t="shared" si="2"/>
        <v>1</v>
      </c>
      <c r="F55" s="54">
        <f>Curves!W29</f>
        <v>0.66231054922947452</v>
      </c>
      <c r="G55" s="54">
        <f>Curves!X29</f>
        <v>1.7816333004475382E-2</v>
      </c>
      <c r="L55" s="44">
        <f>L54</f>
        <v>2.0158427015247626E-2</v>
      </c>
      <c r="M55" s="44">
        <f t="shared" si="3"/>
        <v>0.89365524767796478</v>
      </c>
      <c r="N55">
        <f t="shared" si="4"/>
        <v>0.35965330842617516</v>
      </c>
      <c r="O55">
        <f t="shared" si="5"/>
        <v>9.5038026789078334</v>
      </c>
      <c r="P55" s="43">
        <f>IF(E55=1,(1-N55-F55*M55)/O55,"")</f>
        <v>5.0999999999999908E-3</v>
      </c>
      <c r="Q55" s="45">
        <f t="shared" si="6"/>
        <v>0.54347826086956519</v>
      </c>
      <c r="R55" s="45">
        <f t="shared" si="7"/>
        <v>2.1739130434782608E-2</v>
      </c>
      <c r="S55" s="45">
        <f t="shared" si="8"/>
        <v>0</v>
      </c>
      <c r="T55">
        <f t="shared" si="9"/>
        <v>0</v>
      </c>
      <c r="U55" s="44">
        <f t="shared" si="10"/>
        <v>0.16083622225853123</v>
      </c>
      <c r="V55">
        <f t="shared" si="11"/>
        <v>0.98997141153520474</v>
      </c>
      <c r="W55" s="43">
        <f t="shared" si="12"/>
        <v>1.251718115965101E-2</v>
      </c>
      <c r="X55" s="43">
        <f t="shared" si="13"/>
        <v>3.5632666008950764E-2</v>
      </c>
      <c r="Y55" s="43">
        <f t="shared" si="14"/>
        <v>1.251718115965101E-2</v>
      </c>
      <c r="Z55" s="55">
        <f t="shared" si="15"/>
        <v>1.1527423419607874E-3</v>
      </c>
      <c r="AA55" s="41">
        <f t="shared" si="16"/>
        <v>0</v>
      </c>
      <c r="AB55">
        <f t="shared" si="17"/>
        <v>0</v>
      </c>
      <c r="AC55">
        <f t="shared" si="18"/>
        <v>1.1527423419607874E-3</v>
      </c>
      <c r="AD55">
        <f t="shared" si="19"/>
        <v>0.27173913043478259</v>
      </c>
      <c r="AE55">
        <f t="shared" si="20"/>
        <v>0</v>
      </c>
      <c r="AF55">
        <f t="shared" si="21"/>
        <v>2.0761834848489594E-2</v>
      </c>
      <c r="AG55" s="45">
        <f t="shared" si="22"/>
        <v>0</v>
      </c>
      <c r="AH55" s="45">
        <f>IF(E55=1,ABS(P55-D55)*10000,0)</f>
        <v>9.540979117872439E-14</v>
      </c>
    </row>
    <row r="56" spans="1:34" x14ac:dyDescent="0.2">
      <c r="A56">
        <v>25</v>
      </c>
      <c r="B56">
        <f t="shared" si="0"/>
        <v>12.5</v>
      </c>
      <c r="C56">
        <f t="shared" si="1"/>
        <v>13</v>
      </c>
      <c r="D56" s="43">
        <f>INDEX(Curves!$E$5:$E$34,C56)/10000</f>
        <v>5.5999999999999999E-3</v>
      </c>
      <c r="E56">
        <f t="shared" si="2"/>
        <v>1</v>
      </c>
      <c r="F56" s="54">
        <f>Curves!W30</f>
        <v>0.65065362861681397</v>
      </c>
      <c r="G56" s="54">
        <f>Curves!X30</f>
        <v>1.7915708296964761E-2</v>
      </c>
      <c r="H56">
        <f>N55+D56*O55</f>
        <v>0.41287460342805904</v>
      </c>
      <c r="I56">
        <f>F57*M55*((G57+D56*$B$5+1)-$B$4)</f>
        <v>0.3545690190247322</v>
      </c>
      <c r="J56">
        <f>M55*(F56*((G56+D56*$B$5)-$B$4)+F57*$B$4)</f>
        <v>7.9517882219958275E-3</v>
      </c>
      <c r="K56">
        <f>H56+F56*M55*$B$4-1</f>
        <v>-0.35454138471829078</v>
      </c>
      <c r="L56" s="44">
        <f>IF(E56=1,-2*LN((-J56+SQRT(J56^2-4*I56*K56))/(2*I56)),L55)</f>
        <v>2.2504974818906193E-2</v>
      </c>
      <c r="M56" s="44">
        <f t="shared" si="3"/>
        <v>0.88365576827280889</v>
      </c>
      <c r="N56">
        <f t="shared" si="4"/>
        <v>0.37255649258954832</v>
      </c>
      <c r="O56">
        <f t="shared" si="5"/>
        <v>9.7912795949452747</v>
      </c>
      <c r="P56" s="43"/>
      <c r="Q56" s="45">
        <f t="shared" si="6"/>
        <v>0.52173913043478259</v>
      </c>
      <c r="R56" s="45">
        <f t="shared" si="7"/>
        <v>2.1739130434782608E-2</v>
      </c>
      <c r="S56" s="45">
        <f t="shared" si="8"/>
        <v>0</v>
      </c>
      <c r="T56">
        <f t="shared" si="9"/>
        <v>0</v>
      </c>
      <c r="U56" s="44">
        <f t="shared" si="10"/>
        <v>0.14998795619344737</v>
      </c>
      <c r="V56">
        <f t="shared" si="11"/>
        <v>0.98881058503137753</v>
      </c>
      <c r="W56" s="43">
        <f t="shared" si="12"/>
        <v>1.3984711289363088E-2</v>
      </c>
      <c r="X56" s="43">
        <f t="shared" si="13"/>
        <v>3.5831416593929521E-2</v>
      </c>
      <c r="Y56" s="43">
        <f t="shared" si="14"/>
        <v>1.3984711289363088E-2</v>
      </c>
      <c r="Z56" s="55">
        <f t="shared" si="15"/>
        <v>1.2951026986120565E-3</v>
      </c>
      <c r="AA56" s="41">
        <f t="shared" si="16"/>
        <v>0</v>
      </c>
      <c r="AB56">
        <f t="shared" si="17"/>
        <v>0</v>
      </c>
      <c r="AC56">
        <f t="shared" si="18"/>
        <v>1.2951026986120565E-3</v>
      </c>
      <c r="AD56">
        <f t="shared" si="19"/>
        <v>0.2608695652173913</v>
      </c>
      <c r="AE56">
        <f t="shared" si="20"/>
        <v>0</v>
      </c>
      <c r="AF56">
        <f t="shared" si="21"/>
        <v>2.003352800032706E-2</v>
      </c>
      <c r="AG56" s="45">
        <f t="shared" si="22"/>
        <v>0</v>
      </c>
      <c r="AH56" s="45">
        <v>0</v>
      </c>
    </row>
    <row r="57" spans="1:34" x14ac:dyDescent="0.2">
      <c r="A57">
        <v>26</v>
      </c>
      <c r="B57">
        <f t="shared" si="0"/>
        <v>13</v>
      </c>
      <c r="C57">
        <f t="shared" si="1"/>
        <v>13</v>
      </c>
      <c r="D57" s="43">
        <f>INDEX(Curves!$E$5:$E$34,C57)/10000</f>
        <v>5.5999999999999999E-3</v>
      </c>
      <c r="E57">
        <f t="shared" si="2"/>
        <v>1</v>
      </c>
      <c r="F57" s="54">
        <f>Curves!W31</f>
        <v>0.63920187429408781</v>
      </c>
      <c r="G57" s="54">
        <f>Curves!X31</f>
        <v>1.7915708296964983E-2</v>
      </c>
      <c r="L57" s="44">
        <f>L56</f>
        <v>2.2504974818906193E-2</v>
      </c>
      <c r="M57" s="44">
        <f t="shared" si="3"/>
        <v>0.87376817719218758</v>
      </c>
      <c r="N57">
        <f t="shared" si="4"/>
        <v>0.38509073779016417</v>
      </c>
      <c r="O57">
        <f t="shared" si="5"/>
        <v>10.070536723225162</v>
      </c>
      <c r="P57" s="43">
        <f>IF(E57=1,(1-N57-F57*M57)/O57,"")</f>
        <v>5.599999999999993E-3</v>
      </c>
      <c r="Q57" s="45">
        <f t="shared" si="6"/>
        <v>0.5</v>
      </c>
      <c r="R57" s="45">
        <f t="shared" si="7"/>
        <v>2.1739130434782608E-2</v>
      </c>
      <c r="S57" s="45">
        <f t="shared" si="8"/>
        <v>0</v>
      </c>
      <c r="T57">
        <f t="shared" si="9"/>
        <v>0</v>
      </c>
      <c r="U57" s="44">
        <f t="shared" si="10"/>
        <v>0.13962856413994373</v>
      </c>
      <c r="V57">
        <f t="shared" si="11"/>
        <v>0.98881058503137753</v>
      </c>
      <c r="W57" s="43">
        <f t="shared" si="12"/>
        <v>1.3984711289363091E-2</v>
      </c>
      <c r="X57" s="43">
        <f t="shared" si="13"/>
        <v>3.5831416593929966E-2</v>
      </c>
      <c r="Y57" s="43">
        <f t="shared" si="14"/>
        <v>1.3984711289363091E-2</v>
      </c>
      <c r="Z57" s="55">
        <f t="shared" si="15"/>
        <v>1.2056523390967307E-3</v>
      </c>
      <c r="AA57" s="41">
        <f t="shared" si="16"/>
        <v>1</v>
      </c>
      <c r="AB57">
        <f t="shared" si="17"/>
        <v>1.2056523390967307E-3</v>
      </c>
      <c r="AC57">
        <f t="shared" si="18"/>
        <v>0</v>
      </c>
      <c r="AD57">
        <f t="shared" si="19"/>
        <v>0.25</v>
      </c>
      <c r="AE57">
        <f t="shared" si="20"/>
        <v>0.25</v>
      </c>
      <c r="AF57">
        <f t="shared" si="21"/>
        <v>1.9155749691495208E-2</v>
      </c>
      <c r="AG57" s="45">
        <f t="shared" si="22"/>
        <v>0</v>
      </c>
      <c r="AH57" s="45">
        <f>IF(E57=1,ABS(P57-D57)*10000,0)</f>
        <v>6.9388939039072284E-14</v>
      </c>
    </row>
    <row r="58" spans="1:34" x14ac:dyDescent="0.2">
      <c r="A58">
        <v>27</v>
      </c>
      <c r="B58">
        <f t="shared" si="0"/>
        <v>13.5</v>
      </c>
      <c r="C58">
        <f t="shared" si="1"/>
        <v>14</v>
      </c>
      <c r="D58" s="43">
        <f>INDEX(Curves!$E$5:$E$34,C58)/10000</f>
        <v>6.1000000000000004E-3</v>
      </c>
      <c r="E58">
        <f t="shared" si="2"/>
        <v>1</v>
      </c>
      <c r="F58" s="54">
        <f>Curves!W32</f>
        <v>0.62788896221153712</v>
      </c>
      <c r="G58" s="54">
        <f>Curves!X32</f>
        <v>1.8017376898463944E-2</v>
      </c>
      <c r="H58">
        <f>N57+D58*O57</f>
        <v>0.44652101180183768</v>
      </c>
      <c r="I58">
        <f>F59*M57*((G59+D58*$B$5+1)-$B$4)</f>
        <v>0.3347053069499456</v>
      </c>
      <c r="J58">
        <f>M57*(F58*((G58+D58*$B$5)-$B$4)+F59*$B$4)</f>
        <v>7.6742160750435029E-3</v>
      </c>
      <c r="K58">
        <f>H58+F58*M57*$B$4-1</f>
        <v>-0.33402723060189465</v>
      </c>
      <c r="L58" s="44">
        <f>IF(E58=1,-2*LN((-J58+SQRT(J58^2-4*I58*K58))/(2*I58)),L57)</f>
        <v>2.4978979490375381E-2</v>
      </c>
      <c r="M58" s="44">
        <f t="shared" si="3"/>
        <v>0.86292312406726457</v>
      </c>
      <c r="N58">
        <f t="shared" si="4"/>
        <v>0.39757670688743185</v>
      </c>
      <c r="O58">
        <f t="shared" si="5"/>
        <v>10.341446675644628</v>
      </c>
      <c r="P58" s="43"/>
      <c r="Q58" s="45">
        <f t="shared" si="6"/>
        <v>0.47826086956521741</v>
      </c>
      <c r="R58" s="45">
        <f t="shared" si="7"/>
        <v>2.1739130434782608E-2</v>
      </c>
      <c r="S58" s="45">
        <f t="shared" si="8"/>
        <v>0</v>
      </c>
      <c r="T58">
        <f t="shared" si="9"/>
        <v>0</v>
      </c>
      <c r="U58" s="44">
        <f t="shared" si="10"/>
        <v>0.12956562941800553</v>
      </c>
      <c r="V58">
        <f t="shared" si="11"/>
        <v>0.98758818024275841</v>
      </c>
      <c r="W58" s="43">
        <f t="shared" si="12"/>
        <v>1.5534248874913517E-2</v>
      </c>
      <c r="X58" s="43">
        <f t="shared" si="13"/>
        <v>3.6034753796927887E-2</v>
      </c>
      <c r="Y58" s="43">
        <f t="shared" si="14"/>
        <v>1.5534248874913517E-2</v>
      </c>
      <c r="Z58" s="55">
        <f t="shared" si="15"/>
        <v>1.3195286156277846E-3</v>
      </c>
      <c r="AA58" s="41">
        <f t="shared" si="16"/>
        <v>1</v>
      </c>
      <c r="AB58">
        <f t="shared" si="17"/>
        <v>1.3195286156277846E-3</v>
      </c>
      <c r="AC58">
        <f t="shared" si="18"/>
        <v>0</v>
      </c>
      <c r="AD58">
        <f t="shared" si="19"/>
        <v>0.2391304347826087</v>
      </c>
      <c r="AE58">
        <f t="shared" si="20"/>
        <v>0.2391304347826087</v>
      </c>
      <c r="AF58">
        <f t="shared" si="21"/>
        <v>1.8443420138665047E-2</v>
      </c>
      <c r="AG58" s="45">
        <f t="shared" si="22"/>
        <v>0</v>
      </c>
      <c r="AH58" s="45">
        <v>0</v>
      </c>
    </row>
    <row r="59" spans="1:34" x14ac:dyDescent="0.2">
      <c r="A59">
        <v>28</v>
      </c>
      <c r="B59">
        <f t="shared" si="0"/>
        <v>14</v>
      </c>
      <c r="C59">
        <f t="shared" si="1"/>
        <v>14</v>
      </c>
      <c r="D59" s="43">
        <f>INDEX(Curves!$E$5:$E$34,C59)/10000</f>
        <v>6.1000000000000004E-3</v>
      </c>
      <c r="E59">
        <f t="shared" si="2"/>
        <v>1</v>
      </c>
      <c r="F59" s="54">
        <f>Curves!W33</f>
        <v>0.61677627166295612</v>
      </c>
      <c r="G59" s="54">
        <f>Curves!X33</f>
        <v>1.8017376898464166E-2</v>
      </c>
      <c r="L59" s="44">
        <f>L58</f>
        <v>2.4978979490375381E-2</v>
      </c>
      <c r="M59" s="44">
        <f t="shared" si="3"/>
        <v>0.85221267778698584</v>
      </c>
      <c r="N59">
        <f t="shared" si="4"/>
        <v>0.40968946230709485</v>
      </c>
      <c r="O59">
        <f t="shared" si="5"/>
        <v>10.604258954679308</v>
      </c>
      <c r="P59" s="43">
        <f>IF(E59=1,(1-N59-F59*M59)/O59,"")</f>
        <v>6.100000000000016E-3</v>
      </c>
      <c r="Q59" s="45">
        <f t="shared" si="6"/>
        <v>0.45652173913043481</v>
      </c>
      <c r="R59" s="45">
        <f t="shared" si="7"/>
        <v>2.1739130434782608E-2</v>
      </c>
      <c r="S59" s="45">
        <f t="shared" si="8"/>
        <v>0</v>
      </c>
      <c r="T59">
        <f t="shared" si="9"/>
        <v>0</v>
      </c>
      <c r="U59" s="44">
        <f t="shared" si="10"/>
        <v>0.11997951868974552</v>
      </c>
      <c r="V59">
        <f t="shared" si="11"/>
        <v>0.98758818024275841</v>
      </c>
      <c r="W59" s="43">
        <f t="shared" si="12"/>
        <v>1.5534248874913522E-2</v>
      </c>
      <c r="X59" s="43">
        <f t="shared" si="13"/>
        <v>3.6034753796928332E-2</v>
      </c>
      <c r="Y59" s="43">
        <f t="shared" si="14"/>
        <v>1.5534248874913522E-2</v>
      </c>
      <c r="Z59" s="55">
        <f t="shared" si="15"/>
        <v>1.2219012782287068E-3</v>
      </c>
      <c r="AA59" s="41">
        <f t="shared" si="16"/>
        <v>1</v>
      </c>
      <c r="AB59">
        <f t="shared" si="17"/>
        <v>1.2219012782287068E-3</v>
      </c>
      <c r="AC59">
        <f t="shared" si="18"/>
        <v>0</v>
      </c>
      <c r="AD59">
        <f t="shared" si="19"/>
        <v>0.22826086956521741</v>
      </c>
      <c r="AE59">
        <f t="shared" si="20"/>
        <v>0.22826086956521741</v>
      </c>
      <c r="AF59">
        <f t="shared" si="21"/>
        <v>1.7598247422431112E-2</v>
      </c>
      <c r="AG59" s="45">
        <f t="shared" si="22"/>
        <v>0</v>
      </c>
      <c r="AH59" s="45">
        <f>IF(E59=1,ABS(P59-D59)*10000,0)</f>
        <v>1.5612511283791264E-13</v>
      </c>
    </row>
    <row r="60" spans="1:34" x14ac:dyDescent="0.2">
      <c r="A60">
        <v>29</v>
      </c>
      <c r="B60">
        <f t="shared" si="0"/>
        <v>14.5</v>
      </c>
      <c r="C60">
        <f t="shared" si="1"/>
        <v>15</v>
      </c>
      <c r="D60" s="43">
        <f>INDEX(Curves!$E$5:$E$34,C60)/10000</f>
        <v>6.4999999999999997E-3</v>
      </c>
      <c r="E60">
        <f t="shared" si="2"/>
        <v>1</v>
      </c>
      <c r="F60" s="54">
        <f>Curves!W34</f>
        <v>0.60579832719180127</v>
      </c>
      <c r="G60" s="54">
        <f>Curves!X34</f>
        <v>1.8121450618794999E-2</v>
      </c>
      <c r="H60">
        <f>N59+D60*O59</f>
        <v>0.47861714551251033</v>
      </c>
      <c r="I60">
        <f>F61*M59*((G61+D60*$B$5+1)-$B$4)</f>
        <v>0.31508502873197131</v>
      </c>
      <c r="J60">
        <f>M59*(F60*((G60+D60*$B$5)-$B$4)+F61*$B$4)</f>
        <v>7.3578077551636721E-3</v>
      </c>
      <c r="K60">
        <f>H60+F60*M59*$B$4-1</f>
        <v>-0.31487524864148908</v>
      </c>
      <c r="L60" s="44">
        <f>IF(E60=1,-2*LN((-J60+SQRT(J60^2-4*I60*K60))/(2*I60)),L59)</f>
        <v>2.402507349835949E-2</v>
      </c>
      <c r="M60" s="44">
        <f t="shared" si="3"/>
        <v>0.84203668379476293</v>
      </c>
      <c r="N60">
        <f t="shared" si="4"/>
        <v>0.42139913431967013</v>
      </c>
      <c r="O60">
        <f t="shared" si="5"/>
        <v>10.859311161917807</v>
      </c>
      <c r="P60" s="43"/>
      <c r="Q60" s="45">
        <f t="shared" si="6"/>
        <v>0.43478260869565222</v>
      </c>
      <c r="R60" s="45">
        <f t="shared" si="7"/>
        <v>2.1739130434782608E-2</v>
      </c>
      <c r="S60" s="45">
        <f t="shared" si="8"/>
        <v>0</v>
      </c>
      <c r="T60">
        <f t="shared" si="9"/>
        <v>0</v>
      </c>
      <c r="U60" s="44">
        <f t="shared" si="10"/>
        <v>0.11089226401673893</v>
      </c>
      <c r="V60">
        <f t="shared" si="11"/>
        <v>0.98805932573234212</v>
      </c>
      <c r="W60" s="43">
        <f t="shared" si="12"/>
        <v>1.4939967079852463E-2</v>
      </c>
      <c r="X60" s="43">
        <f t="shared" si="13"/>
        <v>3.6242901237589997E-2</v>
      </c>
      <c r="Y60" s="43">
        <f t="shared" si="14"/>
        <v>1.4939967079852463E-2</v>
      </c>
      <c r="Z60" s="55">
        <f t="shared" si="15"/>
        <v>1.0634531613308341E-3</v>
      </c>
      <c r="AA60" s="41">
        <f t="shared" si="16"/>
        <v>1</v>
      </c>
      <c r="AB60">
        <f t="shared" si="17"/>
        <v>1.0634531613308341E-3</v>
      </c>
      <c r="AC60">
        <f t="shared" si="18"/>
        <v>0</v>
      </c>
      <c r="AD60">
        <f t="shared" si="19"/>
        <v>0.21739130434782611</v>
      </c>
      <c r="AE60">
        <f t="shared" si="20"/>
        <v>0.21739130434782611</v>
      </c>
      <c r="AF60">
        <f t="shared" si="21"/>
        <v>1.6773661758761386E-2</v>
      </c>
      <c r="AG60" s="45">
        <f t="shared" si="22"/>
        <v>0</v>
      </c>
      <c r="AH60" s="45">
        <v>0</v>
      </c>
    </row>
    <row r="61" spans="1:34" x14ac:dyDescent="0.2">
      <c r="A61">
        <v>30</v>
      </c>
      <c r="B61">
        <f t="shared" si="0"/>
        <v>15</v>
      </c>
      <c r="C61">
        <f t="shared" si="1"/>
        <v>15</v>
      </c>
      <c r="D61" s="43">
        <f>INDEX(Curves!$E$5:$E$34,C61)/10000</f>
        <v>6.4999999999999997E-3</v>
      </c>
      <c r="E61">
        <f t="shared" si="2"/>
        <v>1</v>
      </c>
      <c r="F61" s="54">
        <f>Curves!W35</f>
        <v>0.59501577815064066</v>
      </c>
      <c r="G61" s="54">
        <f>Curves!X35</f>
        <v>1.8121450618794777E-2</v>
      </c>
      <c r="L61" s="44">
        <f>L60</f>
        <v>2.402507349835949E-2</v>
      </c>
      <c r="M61" s="44">
        <f t="shared" si="3"/>
        <v>0.83198219803215079</v>
      </c>
      <c r="N61">
        <f t="shared" si="4"/>
        <v>0.43276305423930245</v>
      </c>
      <c r="O61">
        <f t="shared" si="5"/>
        <v>11.106832429402598</v>
      </c>
      <c r="P61" s="43">
        <f>IF(E61=1,(1-N61-F61*M61)/O61,"")</f>
        <v>6.5000000000000092E-3</v>
      </c>
      <c r="Q61" s="45">
        <f t="shared" si="6"/>
        <v>0.41304347826086951</v>
      </c>
      <c r="R61" s="45">
        <f t="shared" si="7"/>
        <v>2.1739130434782608E-2</v>
      </c>
      <c r="S61" s="45">
        <f t="shared" si="8"/>
        <v>0</v>
      </c>
      <c r="T61">
        <f t="shared" si="9"/>
        <v>0</v>
      </c>
      <c r="U61" s="44">
        <f t="shared" si="10"/>
        <v>0.10223704526545685</v>
      </c>
      <c r="V61">
        <f t="shared" si="11"/>
        <v>0.98805932573234212</v>
      </c>
      <c r="W61" s="43">
        <f t="shared" si="12"/>
        <v>1.4939967079852458E-2</v>
      </c>
      <c r="X61" s="43">
        <f t="shared" si="13"/>
        <v>3.6242901237589553E-2</v>
      </c>
      <c r="Y61" s="43">
        <f t="shared" si="14"/>
        <v>1.4939967079852458E-2</v>
      </c>
      <c r="Z61" s="55">
        <f t="shared" si="15"/>
        <v>9.8044989843711701E-4</v>
      </c>
      <c r="AA61" s="41">
        <f t="shared" si="16"/>
        <v>1</v>
      </c>
      <c r="AB61">
        <f t="shared" si="17"/>
        <v>9.8044989843711701E-4</v>
      </c>
      <c r="AC61">
        <f t="shared" si="18"/>
        <v>0</v>
      </c>
      <c r="AD61">
        <f t="shared" si="19"/>
        <v>0.20652173913043476</v>
      </c>
      <c r="AE61">
        <f t="shared" si="20"/>
        <v>0.20652173913043476</v>
      </c>
      <c r="AF61">
        <f t="shared" si="21"/>
        <v>1.6002555440922252E-2</v>
      </c>
      <c r="AG61" s="45">
        <f t="shared" si="22"/>
        <v>0</v>
      </c>
      <c r="AH61" s="45">
        <f>IF(E61=1,ABS(P61-D61)*10000,0)</f>
        <v>9.540979117872439E-14</v>
      </c>
    </row>
    <row r="62" spans="1:34" x14ac:dyDescent="0.2">
      <c r="A62">
        <v>31</v>
      </c>
      <c r="B62">
        <f t="shared" si="0"/>
        <v>15.5</v>
      </c>
      <c r="C62">
        <f t="shared" si="1"/>
        <v>16</v>
      </c>
      <c r="D62" s="43">
        <f>INDEX(Curves!$E$5:$E$34,C62)/10000</f>
        <v>6.7999999999999996E-3</v>
      </c>
      <c r="E62">
        <f t="shared" si="2"/>
        <v>1</v>
      </c>
      <c r="F62" s="54">
        <f>Curves!W36</f>
        <v>0.58531642070406809</v>
      </c>
      <c r="G62" s="54">
        <f>Curves!X36</f>
        <v>1.6571135036507867E-2</v>
      </c>
      <c r="H62">
        <f>N61+D62*O61</f>
        <v>0.50828951475924011</v>
      </c>
      <c r="I62">
        <f>F63*M61*((G63+D62*$B$5+1)-$B$4)</f>
        <v>0.29698768274163845</v>
      </c>
      <c r="J62">
        <f>M61*(F62*((G62+D62*$B$5)-$B$4)+F63*$B$4)</f>
        <v>6.5501409532880183E-3</v>
      </c>
      <c r="K62">
        <f>H62+F62*M61*$B$4-1</f>
        <v>-0.29692134834408723</v>
      </c>
      <c r="L62" s="44">
        <f>IF(E62=1,-2*LN((-J62+SQRT(J62^2-4*I62*K62))/(2*I62)),L61)</f>
        <v>2.2280660048325025E-2</v>
      </c>
      <c r="M62" s="44">
        <f t="shared" si="3"/>
        <v>0.82276507797701437</v>
      </c>
      <c r="N62">
        <f t="shared" si="4"/>
        <v>0.44290131951310752</v>
      </c>
      <c r="O62">
        <f t="shared" si="5"/>
        <v>11.347621384663503</v>
      </c>
      <c r="P62" s="43"/>
      <c r="Q62" s="45">
        <f t="shared" si="6"/>
        <v>0.39130434782608692</v>
      </c>
      <c r="R62" s="45">
        <f t="shared" si="7"/>
        <v>2.1739130434782608E-2</v>
      </c>
      <c r="S62" s="45">
        <f t="shared" si="8"/>
        <v>0</v>
      </c>
      <c r="T62">
        <f t="shared" si="9"/>
        <v>0</v>
      </c>
      <c r="U62" s="44">
        <f t="shared" si="10"/>
        <v>9.4221765102093166E-2</v>
      </c>
      <c r="V62">
        <f t="shared" si="11"/>
        <v>0.98892149366063686</v>
      </c>
      <c r="W62" s="43">
        <f t="shared" si="12"/>
        <v>1.3814417568952807E-2</v>
      </c>
      <c r="X62" s="43">
        <f t="shared" si="13"/>
        <v>3.3142270073015734E-2</v>
      </c>
      <c r="Y62" s="43">
        <f t="shared" si="14"/>
        <v>1.3814417568952807E-2</v>
      </c>
      <c r="Z62" s="55">
        <f t="shared" si="15"/>
        <v>7.9753236390790185E-4</v>
      </c>
      <c r="AA62" s="41">
        <f t="shared" si="16"/>
        <v>1</v>
      </c>
      <c r="AB62">
        <f t="shared" si="17"/>
        <v>7.9753236390790185E-4</v>
      </c>
      <c r="AC62">
        <f t="shared" si="18"/>
        <v>0</v>
      </c>
      <c r="AD62">
        <f t="shared" si="19"/>
        <v>0.19565217391304346</v>
      </c>
      <c r="AE62">
        <f t="shared" si="20"/>
        <v>0.19565217391304346</v>
      </c>
      <c r="AF62">
        <f t="shared" si="21"/>
        <v>1.4940318735694038E-2</v>
      </c>
      <c r="AG62" s="45">
        <f t="shared" si="22"/>
        <v>0</v>
      </c>
      <c r="AH62" s="45">
        <v>0</v>
      </c>
    </row>
    <row r="63" spans="1:34" x14ac:dyDescent="0.2">
      <c r="A63">
        <v>32</v>
      </c>
      <c r="B63">
        <f t="shared" ref="B63:B94" si="23">A63/2</f>
        <v>16</v>
      </c>
      <c r="C63">
        <f t="shared" si="1"/>
        <v>16</v>
      </c>
      <c r="D63" s="43">
        <f>INDEX(Curves!$E$5:$E$34,C63)/10000</f>
        <v>6.7999999999999996E-3</v>
      </c>
      <c r="E63">
        <f t="shared" si="2"/>
        <v>1</v>
      </c>
      <c r="F63" s="54">
        <f>Curves!W37</f>
        <v>0.57577517256876254</v>
      </c>
      <c r="G63" s="54">
        <f>Curves!X37</f>
        <v>1.6571135036507867E-2</v>
      </c>
      <c r="L63" s="44">
        <f>L62</f>
        <v>2.2280660048325025E-2</v>
      </c>
      <c r="M63" s="44">
        <f t="shared" si="3"/>
        <v>0.81365006984483945</v>
      </c>
      <c r="N63">
        <f t="shared" si="4"/>
        <v>0.45276383487691335</v>
      </c>
      <c r="O63">
        <f t="shared" si="5"/>
        <v>11.581861139351252</v>
      </c>
      <c r="P63" s="43">
        <f>IF(E63=1,(1-N63-F63*M63)/O63,"")</f>
        <v>6.7999999999999935E-3</v>
      </c>
      <c r="Q63" s="45">
        <f t="shared" si="6"/>
        <v>0.36956521739130432</v>
      </c>
      <c r="R63" s="45">
        <f t="shared" si="7"/>
        <v>2.1739130434782608E-2</v>
      </c>
      <c r="S63" s="45">
        <f t="shared" si="8"/>
        <v>0</v>
      </c>
      <c r="T63">
        <f t="shared" si="9"/>
        <v>0</v>
      </c>
      <c r="U63" s="44">
        <f t="shared" si="10"/>
        <v>8.6566865862863787E-2</v>
      </c>
      <c r="V63">
        <f t="shared" si="11"/>
        <v>0.98892149366063686</v>
      </c>
      <c r="W63" s="43">
        <f t="shared" si="12"/>
        <v>1.3814417568952807E-2</v>
      </c>
      <c r="X63" s="43">
        <f t="shared" si="13"/>
        <v>3.3142270073015734E-2</v>
      </c>
      <c r="Y63" s="43">
        <f t="shared" si="14"/>
        <v>1.3814417568952807E-2</v>
      </c>
      <c r="Z63" s="55">
        <f t="shared" si="15"/>
        <v>7.3273810029880521E-4</v>
      </c>
      <c r="AA63" s="41">
        <f t="shared" si="16"/>
        <v>1</v>
      </c>
      <c r="AB63">
        <f t="shared" si="17"/>
        <v>7.3273810029880521E-4</v>
      </c>
      <c r="AC63">
        <f t="shared" si="18"/>
        <v>0</v>
      </c>
      <c r="AD63">
        <f t="shared" si="19"/>
        <v>0.18478260869565216</v>
      </c>
      <c r="AE63">
        <f t="shared" si="20"/>
        <v>0.18478260869565216</v>
      </c>
      <c r="AF63">
        <f t="shared" si="21"/>
        <v>1.429231252715321E-2</v>
      </c>
      <c r="AG63" s="45">
        <f t="shared" si="22"/>
        <v>0</v>
      </c>
      <c r="AH63" s="45">
        <f>IF(E63=1,ABS(P63-D63)*10000,0)</f>
        <v>6.0715321659188248E-14</v>
      </c>
    </row>
    <row r="64" spans="1:34" x14ac:dyDescent="0.2">
      <c r="A64">
        <v>33</v>
      </c>
      <c r="B64">
        <f t="shared" si="23"/>
        <v>16.5</v>
      </c>
      <c r="C64">
        <f t="shared" ref="C64:C91" si="24">ROUNDUP(A64/2,0)</f>
        <v>17</v>
      </c>
      <c r="D64" s="43">
        <f>INDEX(Curves!$E$5:$E$34,C64)/10000</f>
        <v>7.1000000000000004E-3</v>
      </c>
      <c r="E64">
        <f t="shared" ref="E64:E91" si="25">IF(C64&lt;=$B$6,1,0)</f>
        <v>1</v>
      </c>
      <c r="F64" s="54">
        <f>Curves!W38</f>
        <v>0.5664486252481592</v>
      </c>
      <c r="G64" s="54">
        <f>Curves!X38</f>
        <v>1.6464948284617087E-2</v>
      </c>
      <c r="H64">
        <f>N63+D64*O63</f>
        <v>0.53499504896630723</v>
      </c>
      <c r="I64">
        <f>F65*M63*((G65+D64*$B$5+1)-$B$4)</f>
        <v>0.28113048795188322</v>
      </c>
      <c r="J64">
        <f>M63*(F64*((G64+D64*$B$5)-$B$4)+F65*$B$4)</f>
        <v>6.2384588978957748E-3</v>
      </c>
      <c r="K64">
        <f>H64+F64*M63*$B$4-1</f>
        <v>-0.2806485656350215</v>
      </c>
      <c r="L64" s="44">
        <f>IF(E64=1,-2*LN((-J64+SQRT(J64^2-4*I64*K64))/(2*I64)),L63)</f>
        <v>2.3924905616612587E-2</v>
      </c>
      <c r="M64" s="44">
        <f t="shared" ref="M64:M95" si="26">M63*EXP(-L64*$B$5)</f>
        <v>0.80397480461121418</v>
      </c>
      <c r="N64">
        <f t="shared" ref="N64:N95" si="27">N63+F64*(M64*G64+$B$4*(M63-M64))</f>
        <v>0.46245436021289205</v>
      </c>
      <c r="O64">
        <f t="shared" ref="O64:O91" si="28">O63+F64*M64*$B$5</f>
        <v>11.809566350754341</v>
      </c>
      <c r="P64" s="43"/>
      <c r="Q64" s="45">
        <f t="shared" ref="Q64:Q91" si="29">IF(A64&lt;=$B$9,MIN(A64,$B$10)/$B$10-MAX(0,MIN(A64-1,$B$9)-$B$7)/$B$8,0)</f>
        <v>0.34782608695652173</v>
      </c>
      <c r="R64" s="45">
        <f t="shared" ref="R64:R91" si="30">IF(AND(A64&gt;$B$7,A64&lt;=$B$9),1/$B$8,0)</f>
        <v>2.1739130434782608E-2</v>
      </c>
      <c r="S64" s="45">
        <f t="shared" ref="S64:S91" si="31">IF(A64&lt;=$B$10,1/$B$10,0)</f>
        <v>0</v>
      </c>
      <c r="T64">
        <f t="shared" ref="T64:T95" si="32">F63*M63*S64</f>
        <v>0</v>
      </c>
      <c r="U64" s="44">
        <f t="shared" ref="U64:U91" si="33">F64*M64*$B$5*Q64</f>
        <v>7.9201812661944287E-2</v>
      </c>
      <c r="V64">
        <f t="shared" ref="V64:V91" si="34">M64/M63</f>
        <v>0.98810881287643682</v>
      </c>
      <c r="W64" s="43">
        <f t="shared" ref="W64:W95" si="35">(1-V64)*(1+G64-$B$4)/(V64*$B$5)</f>
        <v>1.4837434824269224E-2</v>
      </c>
      <c r="X64" s="43">
        <f t="shared" ref="X64:X91" si="36">G64/$B$5</f>
        <v>3.2929896569234174E-2</v>
      </c>
      <c r="Y64" s="43">
        <f t="shared" ref="Y64:Y91" si="37">W64</f>
        <v>1.4837434824269224E-2</v>
      </c>
      <c r="Z64" s="55">
        <f t="shared" ref="Z64:Z95" si="38">U64*(Y64-$E$9)</f>
        <v>7.5142203559417752E-4</v>
      </c>
      <c r="AA64" s="41">
        <f t="shared" ref="AA64:AA91" si="39">MAX(0,MIN(1,(B64-$E$4)/$B$5))</f>
        <v>1</v>
      </c>
      <c r="AB64">
        <f t="shared" ref="AB64:AB95" si="40">Z64*AA64</f>
        <v>7.5142203559417752E-4</v>
      </c>
      <c r="AC64">
        <f t="shared" ref="AC64:AC95" si="41">Z64-AB64</f>
        <v>0</v>
      </c>
      <c r="AD64">
        <f t="shared" ref="AD64:AD91" si="42">Q64*$B$5</f>
        <v>0.17391304347826086</v>
      </c>
      <c r="AE64">
        <f t="shared" ref="AE64:AE95" si="43">AD64*AA64</f>
        <v>0.17391304347826086</v>
      </c>
      <c r="AF64">
        <f t="shared" ref="AF64:AF91" si="44">F64*(M64*((G64+$E$9*$B$5)*Q64+R64)+$B$4*(M63-M64)*Q64)</f>
        <v>1.3694573788650938E-2</v>
      </c>
      <c r="AG64" s="45">
        <f t="shared" ref="AG64:AG91" si="45">S64</f>
        <v>0</v>
      </c>
      <c r="AH64" s="45">
        <v>0</v>
      </c>
    </row>
    <row r="65" spans="1:34" x14ac:dyDescent="0.2">
      <c r="A65">
        <v>34</v>
      </c>
      <c r="B65">
        <f t="shared" si="23"/>
        <v>17</v>
      </c>
      <c r="C65">
        <f t="shared" si="24"/>
        <v>17</v>
      </c>
      <c r="D65" s="43">
        <f>INDEX(Curves!$E$5:$E$34,C65)/10000</f>
        <v>7.1000000000000004E-3</v>
      </c>
      <c r="E65">
        <f t="shared" si="25"/>
        <v>1</v>
      </c>
      <c r="F65" s="54">
        <f>Curves!W39</f>
        <v>0.55727315162622781</v>
      </c>
      <c r="G65" s="54">
        <f>Curves!X39</f>
        <v>1.6464948284617087E-2</v>
      </c>
      <c r="L65" s="44">
        <f>L64</f>
        <v>2.3924905616612587E-2</v>
      </c>
      <c r="M65" s="44">
        <f t="shared" si="26"/>
        <v>0.79441458976695212</v>
      </c>
      <c r="N65">
        <f t="shared" si="27"/>
        <v>0.47187455074877049</v>
      </c>
      <c r="O65">
        <f t="shared" si="28"/>
        <v>12.030919311822984</v>
      </c>
      <c r="P65" s="43">
        <f>IF(E65=1,(1-N65-F65*M65)/O65,"")</f>
        <v>7.1000000000000039E-3</v>
      </c>
      <c r="Q65" s="45">
        <f t="shared" si="29"/>
        <v>0.32608695652173914</v>
      </c>
      <c r="R65" s="45">
        <f t="shared" si="30"/>
        <v>2.1739130434782608E-2</v>
      </c>
      <c r="S65" s="45">
        <f t="shared" si="31"/>
        <v>0</v>
      </c>
      <c r="T65">
        <f t="shared" si="32"/>
        <v>0</v>
      </c>
      <c r="U65" s="44">
        <f t="shared" si="33"/>
        <v>7.2180313391948844E-2</v>
      </c>
      <c r="V65">
        <f t="shared" si="34"/>
        <v>0.98810881287643682</v>
      </c>
      <c r="W65" s="43">
        <f t="shared" si="35"/>
        <v>1.4837434824269224E-2</v>
      </c>
      <c r="X65" s="43">
        <f t="shared" si="36"/>
        <v>3.2929896569234174E-2</v>
      </c>
      <c r="Y65" s="43">
        <f t="shared" si="37"/>
        <v>1.4837434824269224E-2</v>
      </c>
      <c r="Z65" s="55">
        <f t="shared" si="38"/>
        <v>6.8480601890144176E-4</v>
      </c>
      <c r="AA65" s="41">
        <f t="shared" si="39"/>
        <v>1</v>
      </c>
      <c r="AB65">
        <f t="shared" si="40"/>
        <v>6.8480601890144176E-4</v>
      </c>
      <c r="AC65">
        <f t="shared" si="41"/>
        <v>0</v>
      </c>
      <c r="AD65">
        <f t="shared" si="42"/>
        <v>0.16304347826086957</v>
      </c>
      <c r="AE65">
        <f t="shared" si="43"/>
        <v>0.16304347826086957</v>
      </c>
      <c r="AF65">
        <f t="shared" si="44"/>
        <v>1.3082007723939599E-2</v>
      </c>
      <c r="AG65" s="45">
        <f t="shared" si="45"/>
        <v>0</v>
      </c>
      <c r="AH65" s="45">
        <f>IF(E65=1,ABS(P65-D65)*10000,0)</f>
        <v>3.4694469519536142E-14</v>
      </c>
    </row>
    <row r="66" spans="1:34" x14ac:dyDescent="0.2">
      <c r="A66">
        <v>35</v>
      </c>
      <c r="B66">
        <f t="shared" si="23"/>
        <v>17.5</v>
      </c>
      <c r="C66">
        <f t="shared" si="24"/>
        <v>18</v>
      </c>
      <c r="D66" s="43">
        <f>INDEX(Curves!$E$5:$E$34,C66)/10000</f>
        <v>7.4000000000000003E-3</v>
      </c>
      <c r="E66">
        <f t="shared" si="25"/>
        <v>1</v>
      </c>
      <c r="F66" s="54">
        <f>Curves!W40</f>
        <v>0.5483046811466884</v>
      </c>
      <c r="G66" s="54">
        <f>Curves!X40</f>
        <v>1.6356727906796875E-2</v>
      </c>
      <c r="H66">
        <f>N65+D66*O65</f>
        <v>0.56090335365626054</v>
      </c>
      <c r="I66">
        <f>F67*M65*((G67+D66*$B$5+1)-$B$4)</f>
        <v>0.26573846560666964</v>
      </c>
      <c r="J66">
        <f>M65*(F66*((G66+D66*$B$5)-$B$4)+F67*$B$4)</f>
        <v>5.9323252739385685E-3</v>
      </c>
      <c r="K66">
        <f>H66+F66*M65*$B$4-1</f>
        <v>-0.26486415100756111</v>
      </c>
      <c r="L66" s="44">
        <f>IF(E66=1,-2*LN((-J66+SQRT(J66^2-4*I66*K66))/(2*I66)),L65)</f>
        <v>2.5655829507396168E-2</v>
      </c>
      <c r="M66" s="44">
        <f t="shared" si="26"/>
        <v>0.78428899113978168</v>
      </c>
      <c r="N66">
        <f t="shared" si="27"/>
        <v>0.48112918866391136</v>
      </c>
      <c r="O66">
        <f t="shared" si="28"/>
        <v>12.245933974429862</v>
      </c>
      <c r="P66" s="43"/>
      <c r="Q66" s="45">
        <f t="shared" si="29"/>
        <v>0.30434782608695654</v>
      </c>
      <c r="R66" s="45">
        <f t="shared" si="30"/>
        <v>2.1739130434782608E-2</v>
      </c>
      <c r="S66" s="45">
        <f t="shared" si="31"/>
        <v>0</v>
      </c>
      <c r="T66">
        <f t="shared" si="32"/>
        <v>0</v>
      </c>
      <c r="U66" s="44">
        <f t="shared" si="33"/>
        <v>6.5439245141223734E-2</v>
      </c>
      <c r="V66">
        <f t="shared" si="34"/>
        <v>0.98725401225304676</v>
      </c>
      <c r="W66" s="43">
        <f t="shared" si="35"/>
        <v>1.591500303700686E-2</v>
      </c>
      <c r="X66" s="43">
        <f t="shared" si="36"/>
        <v>3.271345581359375E-2</v>
      </c>
      <c r="Y66" s="43">
        <f t="shared" si="37"/>
        <v>1.591500303700686E-2</v>
      </c>
      <c r="Z66" s="55">
        <f t="shared" si="38"/>
        <v>6.9136582365646507E-4</v>
      </c>
      <c r="AA66" s="41">
        <f t="shared" si="39"/>
        <v>1</v>
      </c>
      <c r="AB66">
        <f t="shared" si="40"/>
        <v>6.9136582365646507E-4</v>
      </c>
      <c r="AC66">
        <f t="shared" si="41"/>
        <v>0</v>
      </c>
      <c r="AD66">
        <f t="shared" si="42"/>
        <v>0.15217391304347827</v>
      </c>
      <c r="AE66">
        <f t="shared" si="43"/>
        <v>0.15217391304347827</v>
      </c>
      <c r="AF66">
        <f t="shared" si="44"/>
        <v>1.2515192483803988E-2</v>
      </c>
      <c r="AG66" s="45">
        <f t="shared" si="45"/>
        <v>0</v>
      </c>
      <c r="AH66" s="45">
        <v>0</v>
      </c>
    </row>
    <row r="67" spans="1:34" x14ac:dyDescent="0.2">
      <c r="A67">
        <v>36</v>
      </c>
      <c r="B67">
        <f t="shared" si="23"/>
        <v>18</v>
      </c>
      <c r="C67">
        <f t="shared" si="24"/>
        <v>18</v>
      </c>
      <c r="D67" s="43">
        <f>INDEX(Curves!$E$5:$E$34,C67)/10000</f>
        <v>7.4000000000000003E-3</v>
      </c>
      <c r="E67">
        <f t="shared" si="25"/>
        <v>1</v>
      </c>
      <c r="F67" s="54">
        <f>Curves!W41</f>
        <v>0.5394805446665667</v>
      </c>
      <c r="G67" s="54">
        <f>Curves!X41</f>
        <v>1.6356727906797097E-2</v>
      </c>
      <c r="L67" s="44">
        <f>L66</f>
        <v>2.5655829507396168E-2</v>
      </c>
      <c r="M67" s="44">
        <f t="shared" si="26"/>
        <v>0.77429245326864371</v>
      </c>
      <c r="N67">
        <f t="shared" si="27"/>
        <v>0.49011882602528273</v>
      </c>
      <c r="O67">
        <f t="shared" si="28"/>
        <v>12.454791831640152</v>
      </c>
      <c r="P67" s="43">
        <f>IF(E67=1,(1-N67-F67*M67)/O67,"")</f>
        <v>7.4000000000000133E-3</v>
      </c>
      <c r="Q67" s="45">
        <f t="shared" si="29"/>
        <v>0.28260869565217395</v>
      </c>
      <c r="R67" s="45">
        <f t="shared" si="30"/>
        <v>2.1739130434782608E-2</v>
      </c>
      <c r="S67" s="45">
        <f t="shared" si="31"/>
        <v>0</v>
      </c>
      <c r="T67">
        <f t="shared" si="32"/>
        <v>0</v>
      </c>
      <c r="U67" s="44">
        <f t="shared" si="33"/>
        <v>5.9025046602908054E-2</v>
      </c>
      <c r="V67">
        <f t="shared" si="34"/>
        <v>0.98725401225304676</v>
      </c>
      <c r="W67" s="43">
        <f t="shared" si="35"/>
        <v>1.5915003037006863E-2</v>
      </c>
      <c r="X67" s="43">
        <f t="shared" si="36"/>
        <v>3.2713455813594194E-2</v>
      </c>
      <c r="Y67" s="43">
        <f t="shared" si="37"/>
        <v>1.5915003037006863E-2</v>
      </c>
      <c r="Z67" s="55">
        <f t="shared" si="38"/>
        <v>6.2359979661919516E-4</v>
      </c>
      <c r="AA67" s="41">
        <f t="shared" si="39"/>
        <v>1</v>
      </c>
      <c r="AB67">
        <f t="shared" si="40"/>
        <v>6.2359979661919516E-4</v>
      </c>
      <c r="AC67">
        <f t="shared" si="41"/>
        <v>0</v>
      </c>
      <c r="AD67">
        <f t="shared" si="42"/>
        <v>0.14130434782608697</v>
      </c>
      <c r="AE67">
        <f t="shared" si="43"/>
        <v>0.14130434782608697</v>
      </c>
      <c r="AF67">
        <f t="shared" si="44"/>
        <v>1.1937110088856166E-2</v>
      </c>
      <c r="AG67" s="45">
        <f t="shared" si="45"/>
        <v>0</v>
      </c>
      <c r="AH67" s="45">
        <f>IF(E67=1,ABS(P67-D67)*10000,0)</f>
        <v>1.3010426069826053E-13</v>
      </c>
    </row>
    <row r="68" spans="1:34" x14ac:dyDescent="0.2">
      <c r="A68">
        <v>37</v>
      </c>
      <c r="B68">
        <f t="shared" si="23"/>
        <v>18.5</v>
      </c>
      <c r="C68">
        <f t="shared" si="24"/>
        <v>19</v>
      </c>
      <c r="D68" s="43">
        <f>INDEX(Curves!$E$5:$E$34,C68)/10000</f>
        <v>7.6E-3</v>
      </c>
      <c r="E68">
        <f t="shared" si="25"/>
        <v>1</v>
      </c>
      <c r="F68" s="54">
        <f>Curves!W42</f>
        <v>0.53085602389852615</v>
      </c>
      <c r="G68" s="54">
        <f>Curves!X42</f>
        <v>1.6246440427864828E-2</v>
      </c>
      <c r="H68">
        <f>N67+D68*O67</f>
        <v>0.58477524394574787</v>
      </c>
      <c r="I68">
        <f>F69*M67*((G69+D68*$B$5+1)-$B$4)</f>
        <v>0.25078811864987938</v>
      </c>
      <c r="J68">
        <f>M67*(F68*((G68+D68*$B$5)-$B$4)+F69*$B$4)</f>
        <v>5.6113875734838661E-3</v>
      </c>
      <c r="K68">
        <f>H68+F68*M67*$B$4-1</f>
        <v>-0.25080963082352103</v>
      </c>
      <c r="L68" s="44">
        <f>IF(E68=1,-2*LN((-J68+SQRT(J68^2-4*I68*K68))/(2*I68)),L67)</f>
        <v>2.2287812788854021E-2</v>
      </c>
      <c r="M68" s="44">
        <f t="shared" si="26"/>
        <v>0.76571171094309498</v>
      </c>
      <c r="N68">
        <f t="shared" si="27"/>
        <v>0.49854477807985881</v>
      </c>
      <c r="O68">
        <f t="shared" si="28"/>
        <v>12.658033168802048</v>
      </c>
      <c r="P68" s="43"/>
      <c r="Q68" s="45">
        <f t="shared" si="29"/>
        <v>0.26086956521739135</v>
      </c>
      <c r="R68" s="45">
        <f t="shared" si="30"/>
        <v>2.1739130434782608E-2</v>
      </c>
      <c r="S68" s="45">
        <f t="shared" si="31"/>
        <v>0</v>
      </c>
      <c r="T68">
        <f t="shared" si="32"/>
        <v>0</v>
      </c>
      <c r="U68" s="44">
        <f t="shared" si="33"/>
        <v>5.3019479259624663E-2</v>
      </c>
      <c r="V68">
        <f t="shared" si="34"/>
        <v>0.98891795691753748</v>
      </c>
      <c r="W68" s="43">
        <f t="shared" si="35"/>
        <v>1.3811599950156921E-2</v>
      </c>
      <c r="X68" s="43">
        <f t="shared" si="36"/>
        <v>3.2492880855729656E-2</v>
      </c>
      <c r="Y68" s="43">
        <f t="shared" si="37"/>
        <v>1.3811599950156921E-2</v>
      </c>
      <c r="Z68" s="55">
        <f t="shared" si="38"/>
        <v>4.4862962306058601E-4</v>
      </c>
      <c r="AA68" s="41">
        <f t="shared" si="39"/>
        <v>1</v>
      </c>
      <c r="AB68">
        <f t="shared" si="40"/>
        <v>4.4862962306058601E-4</v>
      </c>
      <c r="AC68">
        <f t="shared" si="41"/>
        <v>0</v>
      </c>
      <c r="AD68">
        <f t="shared" si="42"/>
        <v>0.13043478260869568</v>
      </c>
      <c r="AE68">
        <f t="shared" si="43"/>
        <v>0.13043478260869568</v>
      </c>
      <c r="AF68">
        <f t="shared" si="44"/>
        <v>1.1318308539662938E-2</v>
      </c>
      <c r="AG68" s="45">
        <f t="shared" si="45"/>
        <v>0</v>
      </c>
      <c r="AH68" s="45">
        <v>0</v>
      </c>
    </row>
    <row r="69" spans="1:34" x14ac:dyDescent="0.2">
      <c r="A69">
        <v>38</v>
      </c>
      <c r="B69">
        <f t="shared" si="23"/>
        <v>19</v>
      </c>
      <c r="C69">
        <f t="shared" si="24"/>
        <v>19</v>
      </c>
      <c r="D69" s="43">
        <f>INDEX(Curves!$E$5:$E$34,C69)/10000</f>
        <v>7.6E-3</v>
      </c>
      <c r="E69">
        <f t="shared" si="25"/>
        <v>1</v>
      </c>
      <c r="F69" s="54">
        <f>Curves!W43</f>
        <v>0.52236938087086693</v>
      </c>
      <c r="G69" s="54">
        <f>Curves!X43</f>
        <v>1.6246440427864828E-2</v>
      </c>
      <c r="L69" s="44">
        <f>L68</f>
        <v>2.2287812788854021E-2</v>
      </c>
      <c r="M69" s="44">
        <f t="shared" si="26"/>
        <v>0.75722606077367749</v>
      </c>
      <c r="N69">
        <f t="shared" si="27"/>
        <v>0.50674414287899971</v>
      </c>
      <c r="O69">
        <f t="shared" si="28"/>
        <v>12.855809023074864</v>
      </c>
      <c r="P69" s="43">
        <f>IF(E69=1,(1-N69-F69*M69)/O69,"")</f>
        <v>7.5999999999999956E-3</v>
      </c>
      <c r="Q69" s="45">
        <f t="shared" si="29"/>
        <v>0.23913043478260865</v>
      </c>
      <c r="R69" s="45">
        <f t="shared" si="30"/>
        <v>2.1739130434782608E-2</v>
      </c>
      <c r="S69" s="45">
        <f t="shared" si="31"/>
        <v>0</v>
      </c>
      <c r="T69">
        <f t="shared" si="32"/>
        <v>0</v>
      </c>
      <c r="U69" s="44">
        <f t="shared" si="33"/>
        <v>4.7294226021760262E-2</v>
      </c>
      <c r="V69">
        <f t="shared" si="34"/>
        <v>0.98891795691753748</v>
      </c>
      <c r="W69" s="43">
        <f t="shared" si="35"/>
        <v>1.3811599950156921E-2</v>
      </c>
      <c r="X69" s="43">
        <f t="shared" si="36"/>
        <v>3.2492880855729656E-2</v>
      </c>
      <c r="Y69" s="43">
        <f t="shared" si="37"/>
        <v>1.3811599950156921E-2</v>
      </c>
      <c r="Z69" s="55">
        <f t="shared" si="38"/>
        <v>4.0018482054843686E-4</v>
      </c>
      <c r="AA69" s="41">
        <f t="shared" si="39"/>
        <v>1</v>
      </c>
      <c r="AB69">
        <f t="shared" si="40"/>
        <v>4.0018482054843686E-4</v>
      </c>
      <c r="AC69">
        <f t="shared" si="41"/>
        <v>0</v>
      </c>
      <c r="AD69">
        <f t="shared" si="42"/>
        <v>0.11956521739130432</v>
      </c>
      <c r="AE69">
        <f t="shared" si="43"/>
        <v>0.11956521739130432</v>
      </c>
      <c r="AF69">
        <f t="shared" si="44"/>
        <v>1.0812691964350793E-2</v>
      </c>
      <c r="AG69" s="45">
        <f t="shared" si="45"/>
        <v>0</v>
      </c>
      <c r="AH69" s="45">
        <f>IF(E69=1,ABS(P69-D69)*10000,0)</f>
        <v>4.3368086899420177E-14</v>
      </c>
    </row>
    <row r="70" spans="1:34" x14ac:dyDescent="0.2">
      <c r="A70">
        <v>39</v>
      </c>
      <c r="B70">
        <f t="shared" si="23"/>
        <v>19.5</v>
      </c>
      <c r="C70">
        <f t="shared" si="24"/>
        <v>20</v>
      </c>
      <c r="D70" s="43">
        <f>INDEX(Curves!$E$5:$E$34,C70)/10000</f>
        <v>7.7999999999999996E-3</v>
      </c>
      <c r="E70">
        <f t="shared" si="25"/>
        <v>1</v>
      </c>
      <c r="F70" s="54">
        <f>Curves!W44</f>
        <v>0.51407526303896667</v>
      </c>
      <c r="G70" s="54">
        <f>Curves!X44</f>
        <v>1.6134053568089168E-2</v>
      </c>
      <c r="H70">
        <f>N69+D70*O69</f>
        <v>0.60701945325898365</v>
      </c>
      <c r="I70">
        <f>F71*M69*((G71+D70*$B$5+1)-$B$4)</f>
        <v>0.23752908464791866</v>
      </c>
      <c r="J70">
        <f>M69*(F70*((G70+D70*$B$5)-$B$4)+F71*$B$4)</f>
        <v>5.3263594794116303E-3</v>
      </c>
      <c r="K70">
        <f>H70+F70*M69*$B$4-1</f>
        <v>-0.23727207219214086</v>
      </c>
      <c r="L70" s="44">
        <f>IF(E70=1,-2*LN((-J70+SQRT(J70^2-4*I70*K70))/(2*I70)),L69)</f>
        <v>2.3518312666913257E-2</v>
      </c>
      <c r="M70" s="44">
        <f t="shared" si="26"/>
        <v>0.74837387029598501</v>
      </c>
      <c r="N70">
        <f t="shared" si="27"/>
        <v>0.51477152080086619</v>
      </c>
      <c r="O70">
        <f t="shared" si="28"/>
        <v>13.048169270186813</v>
      </c>
      <c r="P70" s="43"/>
      <c r="Q70" s="45">
        <f t="shared" si="29"/>
        <v>0.21739130434782605</v>
      </c>
      <c r="R70" s="45">
        <f t="shared" si="30"/>
        <v>2.1739130434782608E-2</v>
      </c>
      <c r="S70" s="45">
        <f t="shared" si="31"/>
        <v>0</v>
      </c>
      <c r="T70">
        <f t="shared" si="32"/>
        <v>0</v>
      </c>
      <c r="U70" s="44">
        <f t="shared" si="33"/>
        <v>4.1817445024336736E-2</v>
      </c>
      <c r="V70">
        <f t="shared" si="34"/>
        <v>0.98830971233524645</v>
      </c>
      <c r="W70" s="43">
        <f t="shared" si="35"/>
        <v>1.4575965886730789E-2</v>
      </c>
      <c r="X70" s="43">
        <f t="shared" si="36"/>
        <v>3.2268107136178337E-2</v>
      </c>
      <c r="Y70" s="43">
        <f t="shared" si="37"/>
        <v>1.4575965886730789E-2</v>
      </c>
      <c r="Z70" s="55">
        <f t="shared" si="38"/>
        <v>3.858063212647709E-4</v>
      </c>
      <c r="AA70" s="41">
        <f t="shared" si="39"/>
        <v>1</v>
      </c>
      <c r="AB70">
        <f t="shared" si="40"/>
        <v>3.858063212647709E-4</v>
      </c>
      <c r="AC70">
        <f t="shared" si="41"/>
        <v>0</v>
      </c>
      <c r="AD70">
        <f t="shared" si="42"/>
        <v>0.10869565217391303</v>
      </c>
      <c r="AE70">
        <f t="shared" si="43"/>
        <v>0.10869565217391303</v>
      </c>
      <c r="AF70">
        <f t="shared" si="44"/>
        <v>1.0332294492675035E-2</v>
      </c>
      <c r="AG70" s="45">
        <f t="shared" si="45"/>
        <v>0</v>
      </c>
      <c r="AH70" s="45">
        <v>0</v>
      </c>
    </row>
    <row r="71" spans="1:34" x14ac:dyDescent="0.2">
      <c r="A71">
        <v>40</v>
      </c>
      <c r="B71">
        <f t="shared" si="23"/>
        <v>20</v>
      </c>
      <c r="C71">
        <f t="shared" si="24"/>
        <v>20</v>
      </c>
      <c r="D71" s="43">
        <f>INDEX(Curves!$E$5:$E$34,C71)/10000</f>
        <v>7.7999999999999996E-3</v>
      </c>
      <c r="E71">
        <f t="shared" si="25"/>
        <v>1</v>
      </c>
      <c r="F71" s="54">
        <f>Curves!W45</f>
        <v>0.50591283820655797</v>
      </c>
      <c r="G71" s="54">
        <f>Curves!X45</f>
        <v>1.613405356808939E-2</v>
      </c>
      <c r="L71" s="44">
        <f>L70</f>
        <v>2.3518312666913257E-2</v>
      </c>
      <c r="M71" s="44">
        <f t="shared" si="26"/>
        <v>0.73962516447144</v>
      </c>
      <c r="N71">
        <f t="shared" si="27"/>
        <v>0.52257908864775415</v>
      </c>
      <c r="O71">
        <f t="shared" si="28"/>
        <v>13.235262203270182</v>
      </c>
      <c r="P71" s="43">
        <f>IF(E71=1,(1-N71-F71*M71)/O71,"")</f>
        <v>7.7999999999999996E-3</v>
      </c>
      <c r="Q71" s="45">
        <f t="shared" si="29"/>
        <v>0.19565217391304346</v>
      </c>
      <c r="R71" s="45">
        <f t="shared" si="30"/>
        <v>2.1739130434782608E-2</v>
      </c>
      <c r="S71" s="45">
        <f t="shared" si="31"/>
        <v>0</v>
      </c>
      <c r="T71">
        <f t="shared" si="32"/>
        <v>0</v>
      </c>
      <c r="U71" s="44">
        <f t="shared" si="33"/>
        <v>3.6605139081528758E-2</v>
      </c>
      <c r="V71">
        <f t="shared" si="34"/>
        <v>0.98830971233524645</v>
      </c>
      <c r="W71" s="43">
        <f t="shared" si="35"/>
        <v>1.4575965886730794E-2</v>
      </c>
      <c r="X71" s="43">
        <f t="shared" si="36"/>
        <v>3.2268107136178781E-2</v>
      </c>
      <c r="Y71" s="43">
        <f t="shared" si="37"/>
        <v>1.4575965886730794E-2</v>
      </c>
      <c r="Z71" s="55">
        <f t="shared" si="38"/>
        <v>3.3771776444522058E-4</v>
      </c>
      <c r="AA71" s="41">
        <f t="shared" si="39"/>
        <v>1</v>
      </c>
      <c r="AB71">
        <f t="shared" si="40"/>
        <v>3.3771776444522058E-4</v>
      </c>
      <c r="AC71">
        <f t="shared" si="41"/>
        <v>0</v>
      </c>
      <c r="AD71">
        <f t="shared" si="42"/>
        <v>9.7826086956521729E-2</v>
      </c>
      <c r="AE71">
        <f t="shared" si="43"/>
        <v>9.7826086956521729E-2</v>
      </c>
      <c r="AF71">
        <f t="shared" si="44"/>
        <v>9.8578804677542341E-3</v>
      </c>
      <c r="AG71" s="45">
        <f t="shared" si="45"/>
        <v>0</v>
      </c>
      <c r="AH71" s="45">
        <f>IF(E71=1,ABS(P71-D71)*10000,0)</f>
        <v>0</v>
      </c>
    </row>
    <row r="72" spans="1:34" x14ac:dyDescent="0.2">
      <c r="A72">
        <v>41</v>
      </c>
      <c r="B72">
        <f t="shared" si="23"/>
        <v>20.5</v>
      </c>
      <c r="C72">
        <f t="shared" si="24"/>
        <v>21</v>
      </c>
      <c r="D72" s="43">
        <f>INDEX(Curves!$E$5:$E$34,C72)/10000</f>
        <v>8.0200000000000011E-3</v>
      </c>
      <c r="E72">
        <f t="shared" si="25"/>
        <v>1</v>
      </c>
      <c r="F72" s="54">
        <f>Curves!W46</f>
        <v>0.49865888314794771</v>
      </c>
      <c r="G72" s="54">
        <f>Curves!X46</f>
        <v>1.4546928378809332E-2</v>
      </c>
      <c r="H72">
        <f>N71+D72*O71</f>
        <v>0.62872589151798097</v>
      </c>
      <c r="I72">
        <f>F73*M71*((G73+D72*$B$5+1)-$B$4)</f>
        <v>0.22486547170996668</v>
      </c>
      <c r="J72">
        <f>M71*(F72*((G72+D72*$B$5)-$B$4)+F73*$B$4)</f>
        <v>4.7288667515538937E-3</v>
      </c>
      <c r="K72">
        <f>H72+F72*M71*$B$4-1</f>
        <v>-0.22374584509664086</v>
      </c>
      <c r="L72" s="44">
        <f>IF(E72=1,-2*LN((-J72+SQRT(J72^2-4*I72*K72))/(2*I72)),L71)</f>
        <v>2.6073452125825462E-2</v>
      </c>
      <c r="M72" s="44">
        <f t="shared" si="26"/>
        <v>0.73004545352392403</v>
      </c>
      <c r="N72">
        <f t="shared" si="27"/>
        <v>0.52978560874314684</v>
      </c>
      <c r="O72">
        <f t="shared" si="28"/>
        <v>13.417284028520919</v>
      </c>
      <c r="P72" s="43"/>
      <c r="Q72" s="45">
        <f t="shared" si="29"/>
        <v>0.17391304347826086</v>
      </c>
      <c r="R72" s="45">
        <f t="shared" si="30"/>
        <v>2.1739130434782608E-2</v>
      </c>
      <c r="S72" s="45">
        <f t="shared" si="31"/>
        <v>0</v>
      </c>
      <c r="T72">
        <f t="shared" si="32"/>
        <v>0</v>
      </c>
      <c r="U72" s="44">
        <f t="shared" si="33"/>
        <v>3.1655969608824081E-2</v>
      </c>
      <c r="V72">
        <f t="shared" si="34"/>
        <v>0.98704788397192789</v>
      </c>
      <c r="W72" s="43">
        <f t="shared" si="35"/>
        <v>1.6128261354510006E-2</v>
      </c>
      <c r="X72" s="43">
        <f t="shared" si="36"/>
        <v>2.9093856757618664E-2</v>
      </c>
      <c r="Y72" s="43">
        <f t="shared" si="37"/>
        <v>1.6128261354510006E-2</v>
      </c>
      <c r="Z72" s="55">
        <f t="shared" si="38"/>
        <v>3.4119631387433179E-4</v>
      </c>
      <c r="AA72" s="41">
        <f t="shared" si="39"/>
        <v>1</v>
      </c>
      <c r="AB72">
        <f t="shared" si="40"/>
        <v>3.4119631387433179E-4</v>
      </c>
      <c r="AC72">
        <f t="shared" si="41"/>
        <v>0</v>
      </c>
      <c r="AD72">
        <f t="shared" si="42"/>
        <v>8.6956521739130432E-2</v>
      </c>
      <c r="AE72">
        <f t="shared" si="43"/>
        <v>8.6956521739130432E-2</v>
      </c>
      <c r="AF72">
        <f t="shared" si="44"/>
        <v>9.3366596822902145E-3</v>
      </c>
      <c r="AG72" s="45">
        <f t="shared" si="45"/>
        <v>0</v>
      </c>
      <c r="AH72" s="45">
        <v>0</v>
      </c>
    </row>
    <row r="73" spans="1:34" x14ac:dyDescent="0.2">
      <c r="A73">
        <v>42</v>
      </c>
      <c r="B73">
        <f t="shared" si="23"/>
        <v>21</v>
      </c>
      <c r="C73">
        <f t="shared" si="24"/>
        <v>21</v>
      </c>
      <c r="D73" s="43">
        <f>INDEX(Curves!$E$5:$E$34,C73)/10000</f>
        <v>8.0200000000000011E-3</v>
      </c>
      <c r="E73">
        <f t="shared" si="25"/>
        <v>1</v>
      </c>
      <c r="F73" s="54">
        <f>Curves!W47</f>
        <v>0.49150893783176441</v>
      </c>
      <c r="G73" s="54">
        <f>Curves!X47</f>
        <v>1.4546928378809332E-2</v>
      </c>
      <c r="L73" s="44">
        <f>L72</f>
        <v>2.6073452125825462E-2</v>
      </c>
      <c r="M73" s="44">
        <f t="shared" si="26"/>
        <v>0.72058982010411565</v>
      </c>
      <c r="N73">
        <f t="shared" si="27"/>
        <v>0.53679679788776824</v>
      </c>
      <c r="O73">
        <f t="shared" si="28"/>
        <v>13.594372197066797</v>
      </c>
      <c r="P73" s="43">
        <f>IF(E73=1,(1-N73-F73*M73)/O73,"")</f>
        <v>8.0199999999999959E-3</v>
      </c>
      <c r="Q73" s="45">
        <f t="shared" si="29"/>
        <v>0.15217391304347827</v>
      </c>
      <c r="R73" s="45">
        <f t="shared" si="30"/>
        <v>2.1739130434782608E-2</v>
      </c>
      <c r="S73" s="45">
        <f t="shared" si="31"/>
        <v>0</v>
      </c>
      <c r="T73">
        <f t="shared" si="32"/>
        <v>0</v>
      </c>
      <c r="U73" s="44">
        <f t="shared" si="33"/>
        <v>2.694819956132927E-2</v>
      </c>
      <c r="V73">
        <f t="shared" si="34"/>
        <v>0.98704788397192789</v>
      </c>
      <c r="W73" s="43">
        <f t="shared" si="35"/>
        <v>1.6128261354510006E-2</v>
      </c>
      <c r="X73" s="43">
        <f t="shared" si="36"/>
        <v>2.9093856757618664E-2</v>
      </c>
      <c r="Y73" s="43">
        <f t="shared" si="37"/>
        <v>1.6128261354510006E-2</v>
      </c>
      <c r="Z73" s="55">
        <f t="shared" si="38"/>
        <v>2.9045473790549874E-4</v>
      </c>
      <c r="AA73" s="41">
        <f t="shared" si="39"/>
        <v>1</v>
      </c>
      <c r="AB73">
        <f t="shared" si="40"/>
        <v>2.9045473790549874E-4</v>
      </c>
      <c r="AC73">
        <f t="shared" si="41"/>
        <v>0</v>
      </c>
      <c r="AD73">
        <f t="shared" si="42"/>
        <v>7.6086956521739135E-2</v>
      </c>
      <c r="AE73">
        <f t="shared" si="43"/>
        <v>7.6086956521739135E-2</v>
      </c>
      <c r="AF73">
        <f t="shared" si="44"/>
        <v>8.9105785438293294E-3</v>
      </c>
      <c r="AG73" s="45">
        <f t="shared" si="45"/>
        <v>0</v>
      </c>
      <c r="AH73" s="45">
        <f>IF(E73=1,ABS(P73-D73)*10000,0)</f>
        <v>5.2041704279304213E-14</v>
      </c>
    </row>
    <row r="74" spans="1:34" x14ac:dyDescent="0.2">
      <c r="A74">
        <v>43</v>
      </c>
      <c r="B74">
        <f t="shared" si="23"/>
        <v>21.5</v>
      </c>
      <c r="C74">
        <f t="shared" si="24"/>
        <v>22</v>
      </c>
      <c r="D74" s="43">
        <f>INDEX(Curves!$E$5:$E$34,C74)/10000</f>
        <v>8.2400000000000008E-3</v>
      </c>
      <c r="E74">
        <f t="shared" si="25"/>
        <v>1</v>
      </c>
      <c r="F74" s="54">
        <f>Curves!W48</f>
        <v>0.48458282639382999</v>
      </c>
      <c r="G74" s="54">
        <f>Curves!X48</f>
        <v>1.4292936234404197E-2</v>
      </c>
      <c r="H74">
        <f>N73+D74*O73</f>
        <v>0.64881442479159868</v>
      </c>
      <c r="I74">
        <f>F75*M73*((G75+D74*$B$5+1)-$B$4)</f>
        <v>0.21289786486709061</v>
      </c>
      <c r="J74">
        <f>M73*(F74*((G74+D74*$B$5)-$B$4)+F75*$B$4)</f>
        <v>4.461306976436148E-3</v>
      </c>
      <c r="K74">
        <f>H74+F74*M73*$B$4-1</f>
        <v>-0.21151139452973178</v>
      </c>
      <c r="L74" s="44">
        <f>IF(E74=1,-2*LN((-J74+SQRT(J74^2-4*I74*K74))/(2*I74)),L73)</f>
        <v>2.7557004303855839E-2</v>
      </c>
      <c r="M74" s="44">
        <f t="shared" si="26"/>
        <v>0.71072925959368538</v>
      </c>
      <c r="N74">
        <f t="shared" si="27"/>
        <v>0.54363069125470331</v>
      </c>
      <c r="O74">
        <f t="shared" si="28"/>
        <v>13.766575793774148</v>
      </c>
      <c r="P74" s="43"/>
      <c r="Q74" s="45">
        <f t="shared" si="29"/>
        <v>0.13043478260869568</v>
      </c>
      <c r="R74" s="45">
        <f t="shared" si="30"/>
        <v>2.1739130434782608E-2</v>
      </c>
      <c r="S74" s="45">
        <f t="shared" si="31"/>
        <v>0</v>
      </c>
      <c r="T74">
        <f t="shared" si="32"/>
        <v>0</v>
      </c>
      <c r="U74" s="44">
        <f t="shared" si="33"/>
        <v>2.246133870095884E-2</v>
      </c>
      <c r="V74">
        <f t="shared" si="34"/>
        <v>0.98631598693830347</v>
      </c>
      <c r="W74" s="43">
        <f t="shared" si="35"/>
        <v>1.7045232307818847E-2</v>
      </c>
      <c r="X74" s="43">
        <f t="shared" si="36"/>
        <v>2.8585872468808393E-2</v>
      </c>
      <c r="Y74" s="43">
        <f t="shared" si="37"/>
        <v>1.7045232307818847E-2</v>
      </c>
      <c r="Z74" s="55">
        <f t="shared" si="38"/>
        <v>2.6269057405231566E-4</v>
      </c>
      <c r="AA74" s="41">
        <f t="shared" si="39"/>
        <v>1</v>
      </c>
      <c r="AB74">
        <f t="shared" si="40"/>
        <v>2.6269057405231566E-4</v>
      </c>
      <c r="AC74">
        <f t="shared" si="41"/>
        <v>0</v>
      </c>
      <c r="AD74">
        <f t="shared" si="42"/>
        <v>6.5217391304347838E-2</v>
      </c>
      <c r="AE74">
        <f t="shared" si="43"/>
        <v>6.5217391304347838E-2</v>
      </c>
      <c r="AF74">
        <f t="shared" si="44"/>
        <v>8.4986584580569336E-3</v>
      </c>
      <c r="AG74" s="45">
        <f t="shared" si="45"/>
        <v>0</v>
      </c>
      <c r="AH74" s="45">
        <v>0</v>
      </c>
    </row>
    <row r="75" spans="1:34" x14ac:dyDescent="0.2">
      <c r="A75">
        <v>44</v>
      </c>
      <c r="B75">
        <f t="shared" si="23"/>
        <v>22</v>
      </c>
      <c r="C75">
        <f t="shared" si="24"/>
        <v>22</v>
      </c>
      <c r="D75" s="43">
        <f>INDEX(Curves!$E$5:$E$34,C75)/10000</f>
        <v>8.2400000000000008E-3</v>
      </c>
      <c r="E75">
        <f t="shared" si="25"/>
        <v>1</v>
      </c>
      <c r="F75" s="54">
        <f>Curves!W49</f>
        <v>0.47775431444180178</v>
      </c>
      <c r="G75" s="54">
        <f>Curves!X49</f>
        <v>1.4292936234404197E-2</v>
      </c>
      <c r="L75" s="44">
        <f>L74</f>
        <v>2.7557004303855839E-2</v>
      </c>
      <c r="M75" s="44">
        <f t="shared" si="26"/>
        <v>0.70100363112207553</v>
      </c>
      <c r="N75">
        <f t="shared" si="27"/>
        <v>0.55027608731342337</v>
      </c>
      <c r="O75">
        <f t="shared" si="28"/>
        <v>13.934029548378119</v>
      </c>
      <c r="P75" s="43">
        <f>IF(E75=1,(1-N75-F75*M75)/O75,"")</f>
        <v>8.2400000000000043E-3</v>
      </c>
      <c r="Q75" s="45">
        <f t="shared" si="29"/>
        <v>0.10869565217391308</v>
      </c>
      <c r="R75" s="45">
        <f t="shared" si="30"/>
        <v>2.1739130434782608E-2</v>
      </c>
      <c r="S75" s="45">
        <f t="shared" si="31"/>
        <v>0</v>
      </c>
      <c r="T75">
        <f t="shared" si="32"/>
        <v>0</v>
      </c>
      <c r="U75" s="44">
        <f t="shared" si="33"/>
        <v>1.8201495065648967E-2</v>
      </c>
      <c r="V75">
        <f t="shared" si="34"/>
        <v>0.98631598693830358</v>
      </c>
      <c r="W75" s="43">
        <f t="shared" si="35"/>
        <v>1.7045232307818708E-2</v>
      </c>
      <c r="X75" s="43">
        <f t="shared" si="36"/>
        <v>2.8585872468808393E-2</v>
      </c>
      <c r="Y75" s="43">
        <f t="shared" si="37"/>
        <v>1.7045232307818708E-2</v>
      </c>
      <c r="Z75" s="55">
        <f t="shared" si="38"/>
        <v>2.1287071314238058E-4</v>
      </c>
      <c r="AA75" s="41">
        <f t="shared" si="39"/>
        <v>1</v>
      </c>
      <c r="AB75">
        <f t="shared" si="40"/>
        <v>2.1287071314238058E-4</v>
      </c>
      <c r="AC75">
        <f t="shared" si="41"/>
        <v>0</v>
      </c>
      <c r="AD75">
        <f t="shared" si="42"/>
        <v>5.4347826086956541E-2</v>
      </c>
      <c r="AE75">
        <f t="shared" si="43"/>
        <v>5.4347826086956541E-2</v>
      </c>
      <c r="AF75">
        <f t="shared" si="44"/>
        <v>8.1003016834173373E-3</v>
      </c>
      <c r="AG75" s="45">
        <f t="shared" si="45"/>
        <v>0</v>
      </c>
      <c r="AH75" s="45">
        <f>IF(E75=1,ABS(P75-D75)*10000,0)</f>
        <v>3.4694469519536142E-14</v>
      </c>
    </row>
    <row r="76" spans="1:34" x14ac:dyDescent="0.2">
      <c r="A76">
        <v>45</v>
      </c>
      <c r="B76">
        <f t="shared" si="23"/>
        <v>22.5</v>
      </c>
      <c r="C76">
        <f t="shared" si="24"/>
        <v>23</v>
      </c>
      <c r="D76" s="43">
        <f>INDEX(Curves!$E$5:$E$34,C76)/10000</f>
        <v>8.4599999999999988E-3</v>
      </c>
      <c r="E76">
        <f t="shared" si="25"/>
        <v>1</v>
      </c>
      <c r="F76" s="54">
        <f>Curves!W50</f>
        <v>0.47114156219748776</v>
      </c>
      <c r="G76" s="54">
        <f>Curves!X50</f>
        <v>1.4035595190267092E-2</v>
      </c>
      <c r="H76">
        <f>N75+D76*O75</f>
        <v>0.66815797729270221</v>
      </c>
      <c r="I76">
        <f>F77*M75*((G77+D76*$B$5+1)-$B$4)</f>
        <v>0.20136944122901637</v>
      </c>
      <c r="J76">
        <f>M75*(F76*((G76+D76*$B$5)-$B$4)+F77*$B$4)</f>
        <v>4.2040532655888453E-3</v>
      </c>
      <c r="K76">
        <f>H76+F76*M75*$B$4-1</f>
        <v>-0.19973324435811135</v>
      </c>
      <c r="L76" s="44">
        <f>IF(E76=1,-2*LN((-J76+SQRT(J76^2-4*I76*K76))/(2*I76)),L75)</f>
        <v>2.912080835616743E-2</v>
      </c>
      <c r="M76" s="44">
        <f t="shared" si="26"/>
        <v>0.69087068384586592</v>
      </c>
      <c r="N76">
        <f t="shared" si="27"/>
        <v>0.55675426502230707</v>
      </c>
      <c r="O76">
        <f t="shared" si="28"/>
        <v>14.096778495009913</v>
      </c>
      <c r="P76" s="43"/>
      <c r="Q76" s="45">
        <f t="shared" si="29"/>
        <v>8.6956521739130488E-2</v>
      </c>
      <c r="R76" s="45">
        <f t="shared" si="30"/>
        <v>2.1739130434782608E-2</v>
      </c>
      <c r="S76" s="45">
        <f t="shared" si="31"/>
        <v>0</v>
      </c>
      <c r="T76">
        <f t="shared" si="32"/>
        <v>0</v>
      </c>
      <c r="U76" s="44">
        <f t="shared" si="33"/>
        <v>1.4152082315808182E-2</v>
      </c>
      <c r="V76">
        <f t="shared" si="34"/>
        <v>0.98554508589350653</v>
      </c>
      <c r="W76" s="43">
        <f t="shared" si="35"/>
        <v>1.8012025860304447E-2</v>
      </c>
      <c r="X76" s="43">
        <f t="shared" si="36"/>
        <v>2.8071190380534183E-2</v>
      </c>
      <c r="Y76" s="43">
        <f t="shared" si="37"/>
        <v>1.8012025860304447E-2</v>
      </c>
      <c r="Z76" s="55">
        <f t="shared" si="38"/>
        <v>1.7919403225992044E-4</v>
      </c>
      <c r="AA76" s="41">
        <f t="shared" si="39"/>
        <v>1</v>
      </c>
      <c r="AB76">
        <f t="shared" si="40"/>
        <v>1.7919403225992044E-4</v>
      </c>
      <c r="AC76">
        <f t="shared" si="41"/>
        <v>0</v>
      </c>
      <c r="AD76">
        <f t="shared" si="42"/>
        <v>4.3478260869565244E-2</v>
      </c>
      <c r="AE76">
        <f t="shared" si="43"/>
        <v>4.3478260869565244E-2</v>
      </c>
      <c r="AF76">
        <f t="shared" si="44"/>
        <v>7.715074599066161E-3</v>
      </c>
      <c r="AG76" s="45">
        <f t="shared" si="45"/>
        <v>0</v>
      </c>
      <c r="AH76" s="45">
        <v>0</v>
      </c>
    </row>
    <row r="77" spans="1:34" x14ac:dyDescent="0.2">
      <c r="A77">
        <v>46</v>
      </c>
      <c r="B77">
        <f t="shared" si="23"/>
        <v>23</v>
      </c>
      <c r="C77">
        <f t="shared" si="24"/>
        <v>23</v>
      </c>
      <c r="D77" s="43">
        <f>INDEX(Curves!$E$5:$E$34,C77)/10000</f>
        <v>8.4599999999999988E-3</v>
      </c>
      <c r="E77">
        <f t="shared" si="25"/>
        <v>1</v>
      </c>
      <c r="F77" s="54">
        <f>Curves!W51</f>
        <v>0.46462033919932144</v>
      </c>
      <c r="G77" s="54">
        <f>Curves!X51</f>
        <v>1.4035595190267314E-2</v>
      </c>
      <c r="L77" s="44">
        <f>L76</f>
        <v>2.912080835616743E-2</v>
      </c>
      <c r="M77" s="44">
        <f t="shared" si="26"/>
        <v>0.68088420745217948</v>
      </c>
      <c r="N77">
        <f t="shared" si="27"/>
        <v>0.56305043079480877</v>
      </c>
      <c r="O77">
        <f t="shared" si="28"/>
        <v>14.25495482072086</v>
      </c>
      <c r="P77" s="43">
        <f>IF(E77=1,(1-N77-F77*M77)/O77,"")</f>
        <v>8.4599999999999988E-3</v>
      </c>
      <c r="Q77" s="45">
        <f t="shared" si="29"/>
        <v>6.5217391304347783E-2</v>
      </c>
      <c r="R77" s="45">
        <f t="shared" si="30"/>
        <v>2.1739130434782608E-2</v>
      </c>
      <c r="S77" s="45">
        <f t="shared" si="31"/>
        <v>0</v>
      </c>
      <c r="T77">
        <f t="shared" si="32"/>
        <v>0</v>
      </c>
      <c r="U77" s="44">
        <f t="shared" si="33"/>
        <v>1.0315847328974758E-2</v>
      </c>
      <c r="V77">
        <f t="shared" si="34"/>
        <v>0.98554508589350642</v>
      </c>
      <c r="W77" s="43">
        <f t="shared" si="35"/>
        <v>1.8012025860304592E-2</v>
      </c>
      <c r="X77" s="43">
        <f t="shared" si="36"/>
        <v>2.8071190380534627E-2</v>
      </c>
      <c r="Y77" s="43">
        <f t="shared" si="37"/>
        <v>1.8012025860304592E-2</v>
      </c>
      <c r="Z77" s="55">
        <f t="shared" si="38"/>
        <v>1.3061952565043245E-4</v>
      </c>
      <c r="AA77" s="41">
        <f t="shared" si="39"/>
        <v>1</v>
      </c>
      <c r="AB77">
        <f t="shared" si="40"/>
        <v>1.3061952565043245E-4</v>
      </c>
      <c r="AC77">
        <f t="shared" si="41"/>
        <v>0</v>
      </c>
      <c r="AD77">
        <f t="shared" si="42"/>
        <v>3.2608695652173891E-2</v>
      </c>
      <c r="AE77">
        <f t="shared" si="43"/>
        <v>3.2608695652173891E-2</v>
      </c>
      <c r="AF77">
        <f t="shared" si="44"/>
        <v>7.3430408427621408E-3</v>
      </c>
      <c r="AG77" s="45">
        <f t="shared" si="45"/>
        <v>0</v>
      </c>
      <c r="AH77" s="45">
        <f>IF(E77=1,ABS(P77-D77)*10000,0)</f>
        <v>0</v>
      </c>
    </row>
    <row r="78" spans="1:34" x14ac:dyDescent="0.2">
      <c r="A78">
        <v>47</v>
      </c>
      <c r="B78">
        <f t="shared" si="23"/>
        <v>23.5</v>
      </c>
      <c r="C78">
        <f t="shared" si="24"/>
        <v>24</v>
      </c>
      <c r="D78" s="43">
        <f>INDEX(Curves!$E$5:$E$34,C78)/10000</f>
        <v>8.6800000000000002E-3</v>
      </c>
      <c r="E78">
        <f t="shared" si="25"/>
        <v>1</v>
      </c>
      <c r="F78" s="54">
        <f>Curves!W52</f>
        <v>0.45830715651286086</v>
      </c>
      <c r="G78" s="54">
        <f>Curves!X52</f>
        <v>1.3775003503100347E-2</v>
      </c>
      <c r="H78">
        <f>N77+D78*O77</f>
        <v>0.68678343863866587</v>
      </c>
      <c r="I78">
        <f>F79*M77*((G79+D78*$B$5+1)-$B$4)</f>
        <v>0.19026443102113133</v>
      </c>
      <c r="J78">
        <f>M77*(F78*((G78+D78*$B$5)-$B$4)+F79*$B$4)</f>
        <v>3.9568058187201202E-3</v>
      </c>
      <c r="K78">
        <f>H78+F78*M77*$B$4-1</f>
        <v>-0.18839491934856567</v>
      </c>
      <c r="L78" s="44">
        <f>IF(E78=1,-2*LN((-J78+SQRT(J78^2-4*I78*K78))/(2*I78)),L77)</f>
        <v>3.0773352852660227E-2</v>
      </c>
      <c r="M78" s="44">
        <f t="shared" si="26"/>
        <v>0.67048785027078672</v>
      </c>
      <c r="N78">
        <f t="shared" si="27"/>
        <v>0.56918923304177893</v>
      </c>
      <c r="O78">
        <f t="shared" si="28"/>
        <v>14.408599510787873</v>
      </c>
      <c r="P78" s="43"/>
      <c r="Q78" s="45">
        <f t="shared" si="29"/>
        <v>4.3478260869565188E-2</v>
      </c>
      <c r="R78" s="45">
        <f t="shared" si="30"/>
        <v>2.1739130434782608E-2</v>
      </c>
      <c r="S78" s="45">
        <f t="shared" si="31"/>
        <v>0</v>
      </c>
      <c r="T78">
        <f t="shared" si="32"/>
        <v>0</v>
      </c>
      <c r="U78" s="44">
        <f t="shared" si="33"/>
        <v>6.6802039159570619E-3</v>
      </c>
      <c r="V78">
        <f t="shared" si="34"/>
        <v>0.98473109367553813</v>
      </c>
      <c r="W78" s="43">
        <f t="shared" si="35"/>
        <v>1.9033974032047769E-2</v>
      </c>
      <c r="X78" s="43">
        <f t="shared" si="36"/>
        <v>2.7550007006200694E-2</v>
      </c>
      <c r="Y78" s="43">
        <f t="shared" si="37"/>
        <v>1.9033974032047769E-2</v>
      </c>
      <c r="Z78" s="55">
        <f t="shared" si="38"/>
        <v>9.1411736914740258E-5</v>
      </c>
      <c r="AA78" s="41">
        <f t="shared" si="39"/>
        <v>1</v>
      </c>
      <c r="AB78">
        <f t="shared" si="40"/>
        <v>9.1411736914740258E-5</v>
      </c>
      <c r="AC78">
        <f t="shared" si="41"/>
        <v>0</v>
      </c>
      <c r="AD78">
        <f t="shared" si="42"/>
        <v>2.1739130434782594E-2</v>
      </c>
      <c r="AE78">
        <f t="shared" si="43"/>
        <v>2.1739130434782594E-2</v>
      </c>
      <c r="AF78">
        <f t="shared" si="44"/>
        <v>6.9828474524278802E-3</v>
      </c>
      <c r="AG78" s="45">
        <f t="shared" si="45"/>
        <v>0</v>
      </c>
      <c r="AH78" s="45">
        <v>0</v>
      </c>
    </row>
    <row r="79" spans="1:34" x14ac:dyDescent="0.2">
      <c r="A79">
        <v>48</v>
      </c>
      <c r="B79">
        <f t="shared" si="23"/>
        <v>24</v>
      </c>
      <c r="C79">
        <f t="shared" si="24"/>
        <v>24</v>
      </c>
      <c r="D79" s="43">
        <f>INDEX(Curves!$E$5:$E$34,C79)/10000</f>
        <v>8.6800000000000002E-3</v>
      </c>
      <c r="E79">
        <f t="shared" si="25"/>
        <v>1</v>
      </c>
      <c r="F79" s="54">
        <f>Curves!W53</f>
        <v>0.4520797562863359</v>
      </c>
      <c r="G79" s="54">
        <f>Curves!X53</f>
        <v>1.3775003503100125E-2</v>
      </c>
      <c r="L79" s="44">
        <f>L78</f>
        <v>3.0773352852660227E-2</v>
      </c>
      <c r="M79" s="44">
        <f t="shared" si="26"/>
        <v>0.66025023409331229</v>
      </c>
      <c r="N79">
        <f t="shared" si="27"/>
        <v>0.57515216310972106</v>
      </c>
      <c r="O79">
        <f t="shared" si="28"/>
        <v>14.557842393246323</v>
      </c>
      <c r="P79" s="43">
        <f>IF(E79=1,(1-N79-F79*M79)/O79,"")</f>
        <v>8.680000000000002E-3</v>
      </c>
      <c r="Q79" s="45">
        <f t="shared" si="29"/>
        <v>2.1739130434782594E-2</v>
      </c>
      <c r="R79" s="45">
        <f t="shared" si="30"/>
        <v>2.1739130434782608E-2</v>
      </c>
      <c r="S79" s="45">
        <f t="shared" si="31"/>
        <v>0</v>
      </c>
      <c r="T79">
        <f t="shared" si="32"/>
        <v>0</v>
      </c>
      <c r="U79" s="44">
        <f t="shared" si="33"/>
        <v>3.2444104882271806E-3</v>
      </c>
      <c r="V79">
        <f t="shared" si="34"/>
        <v>0.98473109367553813</v>
      </c>
      <c r="W79" s="43">
        <f t="shared" si="35"/>
        <v>1.9033974032047762E-2</v>
      </c>
      <c r="X79" s="43">
        <f t="shared" si="36"/>
        <v>2.755000700620025E-2</v>
      </c>
      <c r="Y79" s="43">
        <f t="shared" si="37"/>
        <v>1.9033974032047762E-2</v>
      </c>
      <c r="Z79" s="55">
        <f t="shared" si="38"/>
        <v>4.4396428870204141E-5</v>
      </c>
      <c r="AA79" s="41">
        <f t="shared" si="39"/>
        <v>1</v>
      </c>
      <c r="AB79">
        <f t="shared" si="40"/>
        <v>4.4396428870204141E-5</v>
      </c>
      <c r="AC79">
        <f t="shared" si="41"/>
        <v>0</v>
      </c>
      <c r="AD79">
        <f t="shared" si="42"/>
        <v>1.0869565217391297E-2</v>
      </c>
      <c r="AE79">
        <f t="shared" si="43"/>
        <v>1.0869565217391297E-2</v>
      </c>
      <c r="AF79">
        <f t="shared" si="44"/>
        <v>6.6358074870868618E-3</v>
      </c>
      <c r="AG79" s="45">
        <f t="shared" si="45"/>
        <v>0</v>
      </c>
      <c r="AH79" s="45">
        <f>IF(E79=1,ABS(P79-D79)*10000,0)</f>
        <v>1.7347234759768071E-14</v>
      </c>
    </row>
    <row r="80" spans="1:34" x14ac:dyDescent="0.2">
      <c r="A80">
        <v>49</v>
      </c>
      <c r="B80">
        <f t="shared" si="23"/>
        <v>24.5</v>
      </c>
      <c r="C80">
        <f t="shared" si="24"/>
        <v>25</v>
      </c>
      <c r="D80" s="43">
        <f>INDEX(Curves!$E$5:$E$34,C80)/10000</f>
        <v>8.8999999999999999E-3</v>
      </c>
      <c r="E80">
        <f t="shared" si="25"/>
        <v>1</v>
      </c>
      <c r="F80" s="54">
        <f>Curves!W54</f>
        <v>0.44605301358255656</v>
      </c>
      <c r="G80" s="54">
        <f>Curves!X54</f>
        <v>1.351127000661756E-2</v>
      </c>
      <c r="H80">
        <f>N79+D80*O79</f>
        <v>0.70471696040961329</v>
      </c>
      <c r="I80">
        <f>F81*M79*((G81+D80*$B$5+1)-$B$4)</f>
        <v>0.17956749179599968</v>
      </c>
      <c r="J80">
        <f>M79*(F80*((G80+D80*$B$5)-$B$4)+F81*$B$4)</f>
        <v>3.7192680692967684E-3</v>
      </c>
      <c r="K80">
        <f>H80+F80*M79*$B$4-1</f>
        <v>-0.17748039693602258</v>
      </c>
      <c r="L80" s="44">
        <f>IF(E80=1,-2*LN((-J80+SQRT(J80^2-4*I80*K80))/(2*I80)),L79)</f>
        <v>3.2524393313542573E-2</v>
      </c>
      <c r="M80" s="44">
        <f t="shared" si="26"/>
        <v>0.64959994817847122</v>
      </c>
      <c r="N80">
        <f t="shared" si="27"/>
        <v>0.58096737170891344</v>
      </c>
      <c r="O80">
        <f t="shared" si="28"/>
        <v>14.702720400500363</v>
      </c>
      <c r="P80" s="43"/>
      <c r="Q80" s="45">
        <f t="shared" si="29"/>
        <v>0</v>
      </c>
      <c r="R80" s="45">
        <f t="shared" si="30"/>
        <v>0</v>
      </c>
      <c r="S80" s="45">
        <f t="shared" si="31"/>
        <v>0</v>
      </c>
      <c r="T80">
        <f t="shared" si="32"/>
        <v>0</v>
      </c>
      <c r="U80" s="44">
        <f t="shared" si="33"/>
        <v>0</v>
      </c>
      <c r="V80">
        <f t="shared" si="34"/>
        <v>0.98386931898711616</v>
      </c>
      <c r="W80" s="43">
        <f t="shared" si="35"/>
        <v>2.0117213543103869E-2</v>
      </c>
      <c r="X80" s="43">
        <f t="shared" si="36"/>
        <v>2.7022540013235119E-2</v>
      </c>
      <c r="Y80" s="43">
        <f t="shared" si="37"/>
        <v>2.0117213543103869E-2</v>
      </c>
      <c r="Z80" s="55">
        <f t="shared" si="38"/>
        <v>0</v>
      </c>
      <c r="AA80" s="41">
        <f t="shared" si="39"/>
        <v>1</v>
      </c>
      <c r="AB80">
        <f t="shared" si="40"/>
        <v>0</v>
      </c>
      <c r="AC80">
        <f t="shared" si="41"/>
        <v>0</v>
      </c>
      <c r="AD80">
        <f t="shared" si="42"/>
        <v>0</v>
      </c>
      <c r="AE80">
        <f t="shared" si="43"/>
        <v>0</v>
      </c>
      <c r="AF80">
        <f t="shared" si="44"/>
        <v>0</v>
      </c>
      <c r="AG80" s="45">
        <f t="shared" si="45"/>
        <v>0</v>
      </c>
      <c r="AH80" s="45">
        <v>0</v>
      </c>
    </row>
    <row r="81" spans="1:34" x14ac:dyDescent="0.2">
      <c r="A81">
        <v>50</v>
      </c>
      <c r="B81">
        <f t="shared" si="23"/>
        <v>25</v>
      </c>
      <c r="C81">
        <f t="shared" si="24"/>
        <v>25</v>
      </c>
      <c r="D81" s="43">
        <f>INDEX(Curves!$E$5:$E$34,C81)/10000</f>
        <v>8.8999999999999999E-3</v>
      </c>
      <c r="E81">
        <f t="shared" si="25"/>
        <v>1</v>
      </c>
      <c r="F81" s="54">
        <f>Curves!W55</f>
        <v>0.44010661428525022</v>
      </c>
      <c r="G81" s="54">
        <f>Curves!X55</f>
        <v>1.351127000661756E-2</v>
      </c>
      <c r="L81" s="44">
        <f>L80</f>
        <v>3.2524393313542573E-2</v>
      </c>
      <c r="M81" s="44">
        <f t="shared" si="26"/>
        <v>0.6391214586284184</v>
      </c>
      <c r="N81">
        <f t="shared" si="27"/>
        <v>0.58661250412487365</v>
      </c>
      <c r="O81">
        <f t="shared" si="28"/>
        <v>14.843361191137365</v>
      </c>
      <c r="P81" s="43">
        <f>IF(E81=1,(1-N81-F81*M81)/O81,"")</f>
        <v>8.8999999999999982E-3</v>
      </c>
      <c r="Q81" s="45">
        <f t="shared" si="29"/>
        <v>0</v>
      </c>
      <c r="R81" s="45">
        <f t="shared" si="30"/>
        <v>0</v>
      </c>
      <c r="S81" s="45">
        <f t="shared" si="31"/>
        <v>0</v>
      </c>
      <c r="T81">
        <f t="shared" si="32"/>
        <v>0</v>
      </c>
      <c r="U81" s="44">
        <f t="shared" si="33"/>
        <v>0</v>
      </c>
      <c r="V81">
        <f t="shared" si="34"/>
        <v>0.98386931898711616</v>
      </c>
      <c r="W81" s="43">
        <f t="shared" si="35"/>
        <v>2.0117213543103869E-2</v>
      </c>
      <c r="X81" s="43">
        <f t="shared" si="36"/>
        <v>2.7022540013235119E-2</v>
      </c>
      <c r="Y81" s="43">
        <f t="shared" si="37"/>
        <v>2.0117213543103869E-2</v>
      </c>
      <c r="Z81" s="55">
        <f t="shared" si="38"/>
        <v>0</v>
      </c>
      <c r="AA81" s="41">
        <f t="shared" si="39"/>
        <v>1</v>
      </c>
      <c r="AB81">
        <f t="shared" si="40"/>
        <v>0</v>
      </c>
      <c r="AC81">
        <f t="shared" si="41"/>
        <v>0</v>
      </c>
      <c r="AD81">
        <f t="shared" si="42"/>
        <v>0</v>
      </c>
      <c r="AE81">
        <f t="shared" si="43"/>
        <v>0</v>
      </c>
      <c r="AF81">
        <f t="shared" si="44"/>
        <v>0</v>
      </c>
      <c r="AG81" s="45">
        <f t="shared" si="45"/>
        <v>0</v>
      </c>
      <c r="AH81" s="45">
        <f>IF(E81=1,ABS(P81-D81)*10000,0)</f>
        <v>1.7347234759768071E-14</v>
      </c>
    </row>
    <row r="82" spans="1:34" x14ac:dyDescent="0.2">
      <c r="A82">
        <v>51</v>
      </c>
      <c r="B82">
        <f t="shared" si="23"/>
        <v>25.5</v>
      </c>
      <c r="C82">
        <f t="shared" si="24"/>
        <v>26</v>
      </c>
      <c r="D82" s="43">
        <f>INDEX(Curves!$E$5:$E$34,C82)/10000</f>
        <v>8.9999999999999993E-3</v>
      </c>
      <c r="E82">
        <f t="shared" si="25"/>
        <v>1</v>
      </c>
      <c r="F82" s="54">
        <f>Curves!W56</f>
        <v>0.43435380914052302</v>
      </c>
      <c r="G82" s="54">
        <f>Curves!X56</f>
        <v>1.3244514088895709E-2</v>
      </c>
      <c r="H82">
        <f>N81+D82*O81</f>
        <v>0.72020275484510998</v>
      </c>
      <c r="I82">
        <f>F83*M81*((G83+D82*$B$5+1)-$B$4)</f>
        <v>0.16924726918950023</v>
      </c>
      <c r="J82">
        <f>M81*(F82*((G82+D82*$B$5)-$B$4)+F83*$B$4)</f>
        <v>3.4744905566133685E-3</v>
      </c>
      <c r="K82">
        <f>H82+F82*M81*$B$4-1</f>
        <v>-0.16875530913140968</v>
      </c>
      <c r="L82" s="44">
        <f>IF(E82=1,-2*LN((-J82+SQRT(J82^2-4*I82*K82))/(2*I82)),L81)</f>
        <v>2.3469604726514083E-2</v>
      </c>
      <c r="M82" s="44">
        <f t="shared" si="26"/>
        <v>0.63166532829559285</v>
      </c>
      <c r="N82">
        <f t="shared" si="27"/>
        <v>0.59154179111984273</v>
      </c>
      <c r="O82">
        <f t="shared" si="28"/>
        <v>14.98054431186096</v>
      </c>
      <c r="P82" s="43"/>
      <c r="Q82" s="45">
        <f t="shared" si="29"/>
        <v>0</v>
      </c>
      <c r="R82" s="45">
        <f t="shared" si="30"/>
        <v>0</v>
      </c>
      <c r="S82" s="45">
        <f t="shared" si="31"/>
        <v>0</v>
      </c>
      <c r="T82">
        <f t="shared" si="32"/>
        <v>0</v>
      </c>
      <c r="U82" s="44">
        <f t="shared" si="33"/>
        <v>0</v>
      </c>
      <c r="V82">
        <f t="shared" si="34"/>
        <v>0.98833378189362209</v>
      </c>
      <c r="W82" s="43">
        <f t="shared" si="35"/>
        <v>1.4477384836919065E-2</v>
      </c>
      <c r="X82" s="43">
        <f t="shared" si="36"/>
        <v>2.6489028177791418E-2</v>
      </c>
      <c r="Y82" s="43">
        <f t="shared" si="37"/>
        <v>1.4477384836919065E-2</v>
      </c>
      <c r="Z82" s="55">
        <f t="shared" si="38"/>
        <v>0</v>
      </c>
      <c r="AA82" s="41">
        <f t="shared" si="39"/>
        <v>1</v>
      </c>
      <c r="AB82">
        <f t="shared" si="40"/>
        <v>0</v>
      </c>
      <c r="AC82">
        <f t="shared" si="41"/>
        <v>0</v>
      </c>
      <c r="AD82">
        <f t="shared" si="42"/>
        <v>0</v>
      </c>
      <c r="AE82">
        <f t="shared" si="43"/>
        <v>0</v>
      </c>
      <c r="AF82">
        <f t="shared" si="44"/>
        <v>0</v>
      </c>
      <c r="AG82" s="45">
        <f t="shared" si="45"/>
        <v>0</v>
      </c>
      <c r="AH82" s="45">
        <v>0</v>
      </c>
    </row>
    <row r="83" spans="1:34" x14ac:dyDescent="0.2">
      <c r="A83">
        <v>52</v>
      </c>
      <c r="B83">
        <f t="shared" si="23"/>
        <v>26</v>
      </c>
      <c r="C83">
        <f t="shared" si="24"/>
        <v>26</v>
      </c>
      <c r="D83" s="43">
        <f>INDEX(Curves!$E$5:$E$34,C83)/10000</f>
        <v>8.9999999999999993E-3</v>
      </c>
      <c r="E83">
        <f t="shared" si="25"/>
        <v>1</v>
      </c>
      <c r="F83" s="54">
        <f>Curves!W57</f>
        <v>0.42867620115475458</v>
      </c>
      <c r="G83" s="54">
        <f>Curves!X57</f>
        <v>1.3244514088895709E-2</v>
      </c>
      <c r="L83" s="44">
        <f>L82</f>
        <v>2.3469604726514083E-2</v>
      </c>
      <c r="M83" s="44">
        <f t="shared" si="26"/>
        <v>0.62429618280545962</v>
      </c>
      <c r="N83">
        <f t="shared" si="27"/>
        <v>0.59634989103061053</v>
      </c>
      <c r="O83">
        <f t="shared" si="28"/>
        <v>15.11435476988119</v>
      </c>
      <c r="P83" s="43">
        <f>IF(E83=1,(1-N83-F83*M83)/O83,"")</f>
        <v>9.000000000000008E-3</v>
      </c>
      <c r="Q83" s="45">
        <f t="shared" si="29"/>
        <v>0</v>
      </c>
      <c r="R83" s="45">
        <f t="shared" si="30"/>
        <v>0</v>
      </c>
      <c r="S83" s="45">
        <f t="shared" si="31"/>
        <v>0</v>
      </c>
      <c r="T83">
        <f t="shared" si="32"/>
        <v>0</v>
      </c>
      <c r="U83" s="44">
        <f t="shared" si="33"/>
        <v>0</v>
      </c>
      <c r="V83">
        <f t="shared" si="34"/>
        <v>0.98833378189362198</v>
      </c>
      <c r="W83" s="43">
        <f t="shared" si="35"/>
        <v>1.4477384836919205E-2</v>
      </c>
      <c r="X83" s="43">
        <f t="shared" si="36"/>
        <v>2.6489028177791418E-2</v>
      </c>
      <c r="Y83" s="43">
        <f t="shared" si="37"/>
        <v>1.4477384836919205E-2</v>
      </c>
      <c r="Z83" s="55">
        <f t="shared" si="38"/>
        <v>0</v>
      </c>
      <c r="AA83" s="41">
        <f t="shared" si="39"/>
        <v>1</v>
      </c>
      <c r="AB83">
        <f t="shared" si="40"/>
        <v>0</v>
      </c>
      <c r="AC83">
        <f t="shared" si="41"/>
        <v>0</v>
      </c>
      <c r="AD83">
        <f t="shared" si="42"/>
        <v>0</v>
      </c>
      <c r="AE83">
        <f t="shared" si="43"/>
        <v>0</v>
      </c>
      <c r="AF83">
        <f t="shared" si="44"/>
        <v>0</v>
      </c>
      <c r="AG83" s="45">
        <f t="shared" si="45"/>
        <v>0</v>
      </c>
      <c r="AH83" s="45">
        <f>IF(E83=1,ABS(P83-D83)*10000,0)</f>
        <v>8.6736173798840355E-14</v>
      </c>
    </row>
    <row r="84" spans="1:34" x14ac:dyDescent="0.2">
      <c r="A84">
        <v>53</v>
      </c>
      <c r="B84">
        <f t="shared" si="23"/>
        <v>26.5</v>
      </c>
      <c r="C84">
        <f t="shared" si="24"/>
        <v>27</v>
      </c>
      <c r="D84" s="43">
        <f>INDEX(Curves!$E$5:$E$34,C84)/10000</f>
        <v>9.1000000000000004E-3</v>
      </c>
      <c r="E84">
        <f t="shared" si="25"/>
        <v>1</v>
      </c>
      <c r="F84" s="54">
        <f>Curves!W58</f>
        <v>0.42318542711036794</v>
      </c>
      <c r="G84" s="54">
        <f>Curves!X58</f>
        <v>1.2974865608863739E-2</v>
      </c>
      <c r="H84">
        <f>N83+D84*O83</f>
        <v>0.73389051943652939</v>
      </c>
      <c r="I84">
        <f>F85*M83*((G85+D84*$B$5+1)-$B$4)</f>
        <v>0.1610560945158426</v>
      </c>
      <c r="J84">
        <f>M83*(F84*((G84+D84*$B$5)-$B$4)+F85*$B$4)</f>
        <v>3.2763625138043802E-3</v>
      </c>
      <c r="K84">
        <f>H84+F84*M83*$B$4-1</f>
        <v>-0.16043226185791026</v>
      </c>
      <c r="L84" s="44">
        <f>IF(E84=1,-2*LN((-J84+SQRT(J84^2-4*I84*K84))/(2*I84)),L83)</f>
        <v>2.4263058574771804E-2</v>
      </c>
      <c r="M84" s="44">
        <f t="shared" si="26"/>
        <v>0.61676827025142189</v>
      </c>
      <c r="N84">
        <f t="shared" si="27"/>
        <v>0.60101070739608031</v>
      </c>
      <c r="O84">
        <f t="shared" si="28"/>
        <v>15.244858441818426</v>
      </c>
      <c r="P84" s="43"/>
      <c r="Q84" s="45">
        <f t="shared" si="29"/>
        <v>0</v>
      </c>
      <c r="R84" s="45">
        <f t="shared" si="30"/>
        <v>0</v>
      </c>
      <c r="S84" s="45">
        <f t="shared" si="31"/>
        <v>0</v>
      </c>
      <c r="T84">
        <f t="shared" si="32"/>
        <v>0</v>
      </c>
      <c r="U84" s="44">
        <f t="shared" si="33"/>
        <v>0</v>
      </c>
      <c r="V84">
        <f t="shared" si="34"/>
        <v>0.98794176104007425</v>
      </c>
      <c r="W84" s="43">
        <f t="shared" si="35"/>
        <v>1.4963224953986394E-2</v>
      </c>
      <c r="X84" s="43">
        <f t="shared" si="36"/>
        <v>2.5949731217727479E-2</v>
      </c>
      <c r="Y84" s="43">
        <f t="shared" si="37"/>
        <v>1.4963224953986394E-2</v>
      </c>
      <c r="Z84" s="55">
        <f t="shared" si="38"/>
        <v>0</v>
      </c>
      <c r="AA84" s="41">
        <f t="shared" si="39"/>
        <v>1</v>
      </c>
      <c r="AB84">
        <f t="shared" si="40"/>
        <v>0</v>
      </c>
      <c r="AC84">
        <f t="shared" si="41"/>
        <v>0</v>
      </c>
      <c r="AD84">
        <f t="shared" si="42"/>
        <v>0</v>
      </c>
      <c r="AE84">
        <f t="shared" si="43"/>
        <v>0</v>
      </c>
      <c r="AF84">
        <f t="shared" si="44"/>
        <v>0</v>
      </c>
      <c r="AG84" s="45">
        <f t="shared" si="45"/>
        <v>0</v>
      </c>
      <c r="AH84" s="45">
        <v>0</v>
      </c>
    </row>
    <row r="85" spans="1:34" x14ac:dyDescent="0.2">
      <c r="A85">
        <v>54</v>
      </c>
      <c r="B85">
        <f t="shared" si="23"/>
        <v>27</v>
      </c>
      <c r="C85">
        <f t="shared" si="24"/>
        <v>27</v>
      </c>
      <c r="D85" s="43">
        <f>INDEX(Curves!$E$5:$E$34,C85)/10000</f>
        <v>9.1000000000000004E-3</v>
      </c>
      <c r="E85">
        <f t="shared" si="25"/>
        <v>1</v>
      </c>
      <c r="F85" s="54">
        <f>Curves!W59</f>
        <v>0.41776498260497907</v>
      </c>
      <c r="G85" s="54">
        <f>Curves!X59</f>
        <v>1.2974865608863739E-2</v>
      </c>
      <c r="L85" s="44">
        <f>L84</f>
        <v>2.4263058574771804E-2</v>
      </c>
      <c r="M85" s="44">
        <f t="shared" si="26"/>
        <v>0.60933113106583014</v>
      </c>
      <c r="N85">
        <f t="shared" si="27"/>
        <v>0.60555634350642829</v>
      </c>
      <c r="O85">
        <f t="shared" si="28"/>
        <v>15.372137046503621</v>
      </c>
      <c r="P85" s="43">
        <f>IF(E85=1,(1-N85-F85*M85)/O85,"")</f>
        <v>9.0999999999999987E-3</v>
      </c>
      <c r="Q85" s="45">
        <f t="shared" si="29"/>
        <v>0</v>
      </c>
      <c r="R85" s="45">
        <f t="shared" si="30"/>
        <v>0</v>
      </c>
      <c r="S85" s="45">
        <f t="shared" si="31"/>
        <v>0</v>
      </c>
      <c r="T85">
        <f t="shared" si="32"/>
        <v>0</v>
      </c>
      <c r="U85" s="44">
        <f t="shared" si="33"/>
        <v>0</v>
      </c>
      <c r="V85">
        <f t="shared" si="34"/>
        <v>0.98794176104007414</v>
      </c>
      <c r="W85" s="43">
        <f t="shared" si="35"/>
        <v>1.4963224953986533E-2</v>
      </c>
      <c r="X85" s="43">
        <f t="shared" si="36"/>
        <v>2.5949731217727479E-2</v>
      </c>
      <c r="Y85" s="43">
        <f t="shared" si="37"/>
        <v>1.4963224953986533E-2</v>
      </c>
      <c r="Z85" s="55">
        <f t="shared" si="38"/>
        <v>0</v>
      </c>
      <c r="AA85" s="41">
        <f t="shared" si="39"/>
        <v>1</v>
      </c>
      <c r="AB85">
        <f t="shared" si="40"/>
        <v>0</v>
      </c>
      <c r="AC85">
        <f t="shared" si="41"/>
        <v>0</v>
      </c>
      <c r="AD85">
        <f t="shared" si="42"/>
        <v>0</v>
      </c>
      <c r="AE85">
        <f t="shared" si="43"/>
        <v>0</v>
      </c>
      <c r="AF85">
        <f t="shared" si="44"/>
        <v>0</v>
      </c>
      <c r="AG85" s="45">
        <f t="shared" si="45"/>
        <v>0</v>
      </c>
      <c r="AH85" s="45">
        <f>IF(E85=1,ABS(P85-D85)*10000,0)</f>
        <v>1.7347234759768071E-14</v>
      </c>
    </row>
    <row r="86" spans="1:34" x14ac:dyDescent="0.2">
      <c r="A86">
        <v>55</v>
      </c>
      <c r="B86">
        <f t="shared" si="23"/>
        <v>27.5</v>
      </c>
      <c r="C86">
        <f t="shared" si="24"/>
        <v>28</v>
      </c>
      <c r="D86" s="43">
        <f>INDEX(Curves!$E$5:$E$34,C86)/10000</f>
        <v>9.1999999999999998E-3</v>
      </c>
      <c r="E86">
        <f t="shared" si="25"/>
        <v>1</v>
      </c>
      <c r="F86" s="54">
        <f>Curves!W60</f>
        <v>0.41252489960930977</v>
      </c>
      <c r="G86" s="54">
        <f>Curves!X60</f>
        <v>1.2702464749720699E-2</v>
      </c>
      <c r="H86">
        <f>N85+D86*O85</f>
        <v>0.74698000433426159</v>
      </c>
      <c r="I86">
        <f>F87*M85*((G87+D86*$B$5+1)-$B$4)</f>
        <v>0.15322148895225951</v>
      </c>
      <c r="J86">
        <f>M85*(F86*((G86+D86*$B$5)-$B$4)+F87*$B$4)</f>
        <v>3.0880628529321337E-3</v>
      </c>
      <c r="K86">
        <f>H86+F86*M85*$B$4-1</f>
        <v>-0.15247429019703485</v>
      </c>
      <c r="L86" s="44">
        <f>IF(E86=1,-2*LN((-J86+SQRT(J86^2-4*I86*K86))/(2*I86)),L85)</f>
        <v>2.5091741947170818E-2</v>
      </c>
      <c r="M86" s="44">
        <f t="shared" si="26"/>
        <v>0.60173429541939272</v>
      </c>
      <c r="N86">
        <f t="shared" si="27"/>
        <v>0.60996303470072455</v>
      </c>
      <c r="O86">
        <f t="shared" si="28"/>
        <v>15.496252236408303</v>
      </c>
      <c r="P86" s="43"/>
      <c r="Q86" s="45">
        <f t="shared" si="29"/>
        <v>0</v>
      </c>
      <c r="R86" s="45">
        <f t="shared" si="30"/>
        <v>0</v>
      </c>
      <c r="S86" s="45">
        <f t="shared" si="31"/>
        <v>0</v>
      </c>
      <c r="T86">
        <f t="shared" si="32"/>
        <v>0</v>
      </c>
      <c r="U86" s="44">
        <f t="shared" si="33"/>
        <v>0</v>
      </c>
      <c r="V86">
        <f t="shared" si="34"/>
        <v>0.9875325003776696</v>
      </c>
      <c r="W86" s="43">
        <f t="shared" si="35"/>
        <v>1.5470615387233653E-2</v>
      </c>
      <c r="X86" s="43">
        <f t="shared" si="36"/>
        <v>2.5404929499441398E-2</v>
      </c>
      <c r="Y86" s="43">
        <f t="shared" si="37"/>
        <v>1.5470615387233653E-2</v>
      </c>
      <c r="Z86" s="55">
        <f t="shared" si="38"/>
        <v>0</v>
      </c>
      <c r="AA86" s="41">
        <f t="shared" si="39"/>
        <v>1</v>
      </c>
      <c r="AB86">
        <f t="shared" si="40"/>
        <v>0</v>
      </c>
      <c r="AC86">
        <f t="shared" si="41"/>
        <v>0</v>
      </c>
      <c r="AD86">
        <f t="shared" si="42"/>
        <v>0</v>
      </c>
      <c r="AE86">
        <f t="shared" si="43"/>
        <v>0</v>
      </c>
      <c r="AF86">
        <f t="shared" si="44"/>
        <v>0</v>
      </c>
      <c r="AG86" s="45">
        <f t="shared" si="45"/>
        <v>0</v>
      </c>
      <c r="AH86" s="45">
        <v>0</v>
      </c>
    </row>
    <row r="87" spans="1:34" x14ac:dyDescent="0.2">
      <c r="A87">
        <v>56</v>
      </c>
      <c r="B87">
        <f t="shared" si="23"/>
        <v>28</v>
      </c>
      <c r="C87">
        <f t="shared" si="24"/>
        <v>28</v>
      </c>
      <c r="D87" s="43">
        <f>INDEX(Curves!$E$5:$E$34,C87)/10000</f>
        <v>9.1999999999999998E-3</v>
      </c>
      <c r="E87">
        <f t="shared" si="25"/>
        <v>1</v>
      </c>
      <c r="F87" s="54">
        <f>Curves!W61</f>
        <v>0.4073505436873418</v>
      </c>
      <c r="G87" s="54">
        <f>Curves!X61</f>
        <v>1.2702464749720477E-2</v>
      </c>
      <c r="L87" s="44">
        <f>L86</f>
        <v>2.5091741947170818E-2</v>
      </c>
      <c r="M87" s="44">
        <f t="shared" si="26"/>
        <v>0.59423217331850819</v>
      </c>
      <c r="N87">
        <f t="shared" si="27"/>
        <v>0.61426020087240074</v>
      </c>
      <c r="O87">
        <f t="shared" si="28"/>
        <v>15.617282635847205</v>
      </c>
      <c r="P87" s="43">
        <f>IF(E87=1,(1-N87-F87*M87)/O87,"")</f>
        <v>9.1999999999999946E-3</v>
      </c>
      <c r="Q87" s="45">
        <f t="shared" si="29"/>
        <v>0</v>
      </c>
      <c r="R87" s="45">
        <f t="shared" si="30"/>
        <v>0</v>
      </c>
      <c r="S87" s="45">
        <f t="shared" si="31"/>
        <v>0</v>
      </c>
      <c r="T87">
        <f t="shared" si="32"/>
        <v>0</v>
      </c>
      <c r="U87" s="44">
        <f t="shared" si="33"/>
        <v>0</v>
      </c>
      <c r="V87">
        <f t="shared" si="34"/>
        <v>0.9875325003776696</v>
      </c>
      <c r="W87" s="43">
        <f t="shared" si="35"/>
        <v>1.5470615387233648E-2</v>
      </c>
      <c r="X87" s="43">
        <f t="shared" si="36"/>
        <v>2.5404929499440954E-2</v>
      </c>
      <c r="Y87" s="43">
        <f t="shared" si="37"/>
        <v>1.5470615387233648E-2</v>
      </c>
      <c r="Z87" s="55">
        <f t="shared" si="38"/>
        <v>0</v>
      </c>
      <c r="AA87" s="41">
        <f t="shared" si="39"/>
        <v>1</v>
      </c>
      <c r="AB87">
        <f t="shared" si="40"/>
        <v>0</v>
      </c>
      <c r="AC87">
        <f t="shared" si="41"/>
        <v>0</v>
      </c>
      <c r="AD87">
        <f t="shared" si="42"/>
        <v>0</v>
      </c>
      <c r="AE87">
        <f t="shared" si="43"/>
        <v>0</v>
      </c>
      <c r="AF87">
        <f t="shared" si="44"/>
        <v>0</v>
      </c>
      <c r="AG87" s="45">
        <f t="shared" si="45"/>
        <v>0</v>
      </c>
      <c r="AH87" s="45">
        <f>IF(E87=1,ABS(P87-D87)*10000,0)</f>
        <v>5.2041704279304213E-14</v>
      </c>
    </row>
    <row r="88" spans="1:34" x14ac:dyDescent="0.2">
      <c r="A88">
        <v>57</v>
      </c>
      <c r="B88">
        <f t="shared" si="23"/>
        <v>28.5</v>
      </c>
      <c r="C88">
        <f t="shared" si="24"/>
        <v>29</v>
      </c>
      <c r="D88" s="43">
        <f>INDEX(Curves!$E$5:$E$34,C88)/10000</f>
        <v>9.1999999999999998E-3</v>
      </c>
      <c r="E88">
        <f t="shared" si="25"/>
        <v>0</v>
      </c>
      <c r="F88" s="54">
        <f>Curves!W62</f>
        <v>0.4023503500784591</v>
      </c>
      <c r="G88" s="54">
        <f>Curves!X62</f>
        <v>1.2427461807620332E-2</v>
      </c>
      <c r="H88">
        <f>N87+D88*O87</f>
        <v>0.75793920112219504</v>
      </c>
      <c r="I88">
        <f>F89*M87*((G89+D88*$B$5+1)-$B$4)</f>
        <v>0.14571394698737558</v>
      </c>
      <c r="J88">
        <f>M87*(F88*((G88+D88*$B$5)-$B$4)+F89*$B$4)</f>
        <v>2.897166219384299E-3</v>
      </c>
      <c r="K88">
        <f>H88+F88*M87*$B$4-1</f>
        <v>-0.14642498969277085</v>
      </c>
      <c r="L88" s="44">
        <f>IF(E88=1,-2*LN((-J88+SQRT(J88^2-4*I88*K88))/(2*I88)),L87)</f>
        <v>2.5091741947170818E-2</v>
      </c>
      <c r="M88" s="44">
        <f t="shared" si="26"/>
        <v>0.58682358392208311</v>
      </c>
      <c r="N88">
        <f t="shared" si="27"/>
        <v>0.6183867718211653</v>
      </c>
      <c r="O88">
        <f t="shared" si="28"/>
        <v>15.735336973059878</v>
      </c>
      <c r="P88" s="43"/>
      <c r="Q88" s="45">
        <f t="shared" si="29"/>
        <v>0</v>
      </c>
      <c r="R88" s="45">
        <f t="shared" si="30"/>
        <v>0</v>
      </c>
      <c r="S88" s="45">
        <f t="shared" si="31"/>
        <v>0</v>
      </c>
      <c r="T88">
        <f t="shared" si="32"/>
        <v>0</v>
      </c>
      <c r="U88" s="44">
        <f t="shared" si="33"/>
        <v>0</v>
      </c>
      <c r="V88">
        <f t="shared" si="34"/>
        <v>0.9875325003776696</v>
      </c>
      <c r="W88" s="43">
        <f t="shared" si="35"/>
        <v>1.5463671617635255E-2</v>
      </c>
      <c r="X88" s="43">
        <f t="shared" si="36"/>
        <v>2.4854923615240665E-2</v>
      </c>
      <c r="Y88" s="43">
        <f t="shared" si="37"/>
        <v>1.5463671617635255E-2</v>
      </c>
      <c r="Z88" s="55">
        <f t="shared" si="38"/>
        <v>0</v>
      </c>
      <c r="AA88" s="41">
        <f t="shared" si="39"/>
        <v>1</v>
      </c>
      <c r="AB88">
        <f t="shared" si="40"/>
        <v>0</v>
      </c>
      <c r="AC88">
        <f t="shared" si="41"/>
        <v>0</v>
      </c>
      <c r="AD88">
        <f t="shared" si="42"/>
        <v>0</v>
      </c>
      <c r="AE88">
        <f t="shared" si="43"/>
        <v>0</v>
      </c>
      <c r="AF88">
        <f t="shared" si="44"/>
        <v>0</v>
      </c>
      <c r="AG88" s="45">
        <f t="shared" si="45"/>
        <v>0</v>
      </c>
      <c r="AH88" s="45">
        <v>0</v>
      </c>
    </row>
    <row r="89" spans="1:34" x14ac:dyDescent="0.2">
      <c r="A89">
        <v>58</v>
      </c>
      <c r="B89">
        <f t="shared" si="23"/>
        <v>29</v>
      </c>
      <c r="C89">
        <f t="shared" si="24"/>
        <v>29</v>
      </c>
      <c r="D89" s="43">
        <f>INDEX(Curves!$E$5:$E$34,C89)/10000</f>
        <v>9.1999999999999998E-3</v>
      </c>
      <c r="E89">
        <f t="shared" si="25"/>
        <v>0</v>
      </c>
      <c r="F89" s="54">
        <f>Curves!W63</f>
        <v>0.3974115334249132</v>
      </c>
      <c r="G89" s="54">
        <f>Curves!X63</f>
        <v>1.2427461807620332E-2</v>
      </c>
      <c r="L89" s="44">
        <f>L88</f>
        <v>2.5091741947170818E-2</v>
      </c>
      <c r="M89" s="44">
        <f t="shared" si="26"/>
        <v>0.57950736111115997</v>
      </c>
      <c r="N89">
        <f t="shared" si="27"/>
        <v>0.62241187295754052</v>
      </c>
      <c r="O89">
        <f t="shared" si="28"/>
        <v>15.850488427564983</v>
      </c>
      <c r="P89" s="43" t="str">
        <f>IF(E89=1,(1-N89-F89*M89)/O89,"")</f>
        <v/>
      </c>
      <c r="Q89" s="45">
        <f t="shared" si="29"/>
        <v>0</v>
      </c>
      <c r="R89" s="45">
        <f t="shared" si="30"/>
        <v>0</v>
      </c>
      <c r="S89" s="45">
        <f t="shared" si="31"/>
        <v>0</v>
      </c>
      <c r="T89">
        <f t="shared" si="32"/>
        <v>0</v>
      </c>
      <c r="U89" s="44">
        <f t="shared" si="33"/>
        <v>0</v>
      </c>
      <c r="V89">
        <f t="shared" si="34"/>
        <v>0.9875325003776696</v>
      </c>
      <c r="W89" s="43">
        <f t="shared" si="35"/>
        <v>1.5463671617635255E-2</v>
      </c>
      <c r="X89" s="43">
        <f t="shared" si="36"/>
        <v>2.4854923615240665E-2</v>
      </c>
      <c r="Y89" s="43">
        <f t="shared" si="37"/>
        <v>1.5463671617635255E-2</v>
      </c>
      <c r="Z89" s="55">
        <f t="shared" si="38"/>
        <v>0</v>
      </c>
      <c r="AA89" s="41">
        <f t="shared" si="39"/>
        <v>1</v>
      </c>
      <c r="AB89">
        <f t="shared" si="40"/>
        <v>0</v>
      </c>
      <c r="AC89">
        <f t="shared" si="41"/>
        <v>0</v>
      </c>
      <c r="AD89">
        <f t="shared" si="42"/>
        <v>0</v>
      </c>
      <c r="AE89">
        <f t="shared" si="43"/>
        <v>0</v>
      </c>
      <c r="AF89">
        <f t="shared" si="44"/>
        <v>0</v>
      </c>
      <c r="AG89" s="45">
        <f t="shared" si="45"/>
        <v>0</v>
      </c>
      <c r="AH89" s="45">
        <f>IF(E89=1,ABS(P89-D89)*10000,0)</f>
        <v>0</v>
      </c>
    </row>
    <row r="90" spans="1:34" x14ac:dyDescent="0.2">
      <c r="A90">
        <v>59</v>
      </c>
      <c r="B90">
        <f t="shared" si="23"/>
        <v>29.5</v>
      </c>
      <c r="C90">
        <f t="shared" si="24"/>
        <v>30</v>
      </c>
      <c r="D90" s="43">
        <f>INDEX(Curves!$E$5:$E$34,C90)/10000</f>
        <v>9.1999999999999998E-3</v>
      </c>
      <c r="E90">
        <f t="shared" si="25"/>
        <v>0</v>
      </c>
      <c r="F90" s="54">
        <f>Curves!W64</f>
        <v>0.3926409393702105</v>
      </c>
      <c r="G90" s="54">
        <f>Curves!X64</f>
        <v>1.2150016914575179E-2</v>
      </c>
      <c r="H90">
        <f>N89+D90*O89</f>
        <v>0.76823636649113836</v>
      </c>
      <c r="I90">
        <f>F91*M89*((G91+D90*$B$5+1)-$B$4)</f>
        <v>0.13864966364362347</v>
      </c>
      <c r="J90">
        <f>M89*(F90*((G90+D90*$B$5)-$B$4)+F91*$B$4)</f>
        <v>2.7187075302887876E-3</v>
      </c>
      <c r="K90">
        <f>H90+F90*M89*$B$4-1</f>
        <v>-0.14074830765340662</v>
      </c>
      <c r="L90" s="44">
        <f>IF(E90=1,-2*LN((-J90+SQRT(J90^2-4*I90*K90))/(2*I90)),L89)</f>
        <v>2.5091741947170818E-2</v>
      </c>
      <c r="M90" s="44">
        <f t="shared" si="26"/>
        <v>0.57228235330536892</v>
      </c>
      <c r="N90">
        <f t="shared" si="27"/>
        <v>0.62627673329055955</v>
      </c>
      <c r="O90">
        <f t="shared" si="28"/>
        <v>15.962839167958391</v>
      </c>
      <c r="P90" s="43"/>
      <c r="Q90" s="45">
        <f t="shared" si="29"/>
        <v>0</v>
      </c>
      <c r="R90" s="45">
        <f t="shared" si="30"/>
        <v>0</v>
      </c>
      <c r="S90" s="45">
        <f t="shared" si="31"/>
        <v>0</v>
      </c>
      <c r="T90">
        <f t="shared" si="32"/>
        <v>0</v>
      </c>
      <c r="U90" s="44">
        <f t="shared" si="33"/>
        <v>0</v>
      </c>
      <c r="V90">
        <f t="shared" si="34"/>
        <v>0.9875325003776696</v>
      </c>
      <c r="W90" s="43">
        <f t="shared" si="35"/>
        <v>1.5456666189261132E-2</v>
      </c>
      <c r="X90" s="43">
        <f t="shared" si="36"/>
        <v>2.4300033829150358E-2</v>
      </c>
      <c r="Y90" s="43">
        <f t="shared" si="37"/>
        <v>1.5456666189261132E-2</v>
      </c>
      <c r="Z90" s="55">
        <f t="shared" si="38"/>
        <v>0</v>
      </c>
      <c r="AA90" s="41">
        <f t="shared" si="39"/>
        <v>1</v>
      </c>
      <c r="AB90">
        <f t="shared" si="40"/>
        <v>0</v>
      </c>
      <c r="AC90">
        <f t="shared" si="41"/>
        <v>0</v>
      </c>
      <c r="AD90">
        <f t="shared" si="42"/>
        <v>0</v>
      </c>
      <c r="AE90">
        <f t="shared" si="43"/>
        <v>0</v>
      </c>
      <c r="AF90">
        <f t="shared" si="44"/>
        <v>0</v>
      </c>
      <c r="AG90" s="45">
        <f t="shared" si="45"/>
        <v>0</v>
      </c>
      <c r="AH90" s="45">
        <v>0</v>
      </c>
    </row>
    <row r="91" spans="1:34" x14ac:dyDescent="0.2">
      <c r="A91">
        <v>60</v>
      </c>
      <c r="B91">
        <f t="shared" si="23"/>
        <v>30</v>
      </c>
      <c r="C91">
        <f t="shared" si="24"/>
        <v>30</v>
      </c>
      <c r="D91" s="43">
        <f>INDEX(Curves!$E$5:$E$34,C91)/10000</f>
        <v>9.1999999999999998E-3</v>
      </c>
      <c r="E91">
        <f t="shared" si="25"/>
        <v>0</v>
      </c>
      <c r="F91" s="54">
        <f>Curves!W65</f>
        <v>0.3879276123189051</v>
      </c>
      <c r="G91" s="54">
        <f>Curves!X65</f>
        <v>1.2150016914574957E-2</v>
      </c>
      <c r="L91" s="44">
        <f>L90</f>
        <v>2.5091741947170818E-2</v>
      </c>
      <c r="M91" s="44">
        <f t="shared" si="26"/>
        <v>0.56514742328166789</v>
      </c>
      <c r="N91">
        <f t="shared" si="27"/>
        <v>0.63004759247595132</v>
      </c>
      <c r="O91">
        <f t="shared" si="28"/>
        <v>16.07245731321931</v>
      </c>
      <c r="P91" s="43" t="str">
        <f>IF(E91=1,(1-N91-F91*M91)/O91,"")</f>
        <v/>
      </c>
      <c r="Q91" s="45">
        <f t="shared" si="29"/>
        <v>0</v>
      </c>
      <c r="R91" s="45">
        <f t="shared" si="30"/>
        <v>0</v>
      </c>
      <c r="S91" s="45">
        <f t="shared" si="31"/>
        <v>0</v>
      </c>
      <c r="T91">
        <f t="shared" si="32"/>
        <v>0</v>
      </c>
      <c r="U91" s="44">
        <f t="shared" si="33"/>
        <v>0</v>
      </c>
      <c r="V91">
        <f t="shared" si="34"/>
        <v>0.9875325003776696</v>
      </c>
      <c r="W91" s="43">
        <f t="shared" si="35"/>
        <v>1.5456666189261127E-2</v>
      </c>
      <c r="X91" s="43">
        <f t="shared" si="36"/>
        <v>2.4300033829149914E-2</v>
      </c>
      <c r="Y91" s="43">
        <f t="shared" si="37"/>
        <v>1.5456666189261127E-2</v>
      </c>
      <c r="Z91" s="55">
        <f t="shared" si="38"/>
        <v>0</v>
      </c>
      <c r="AA91" s="41">
        <f t="shared" si="39"/>
        <v>1</v>
      </c>
      <c r="AB91">
        <f t="shared" si="40"/>
        <v>0</v>
      </c>
      <c r="AC91">
        <f t="shared" si="41"/>
        <v>0</v>
      </c>
      <c r="AD91">
        <f t="shared" si="42"/>
        <v>0</v>
      </c>
      <c r="AE91">
        <f t="shared" si="43"/>
        <v>0</v>
      </c>
      <c r="AF91">
        <f t="shared" si="44"/>
        <v>0</v>
      </c>
      <c r="AG91" s="45">
        <f t="shared" si="45"/>
        <v>0</v>
      </c>
      <c r="AH91" s="45">
        <f>IF(E91=1,ABS(P91-D91)*10000,0)</f>
        <v>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91"/>
  <sheetViews>
    <sheetView zoomScaleNormal="100" workbookViewId="0">
      <pane xSplit="2" ySplit="30" topLeftCell="C31" activePane="bottomRight" state="frozen"/>
      <selection pane="topRight" activeCell="C1" sqref="C1"/>
      <selection pane="bottomLeft" activeCell="A31" sqref="A31"/>
      <selection pane="bottomRight" activeCell="A38" sqref="A38"/>
    </sheetView>
  </sheetViews>
  <sheetFormatPr baseColWidth="10" defaultColWidth="8.6640625" defaultRowHeight="15" x14ac:dyDescent="0.2"/>
  <cols>
    <col min="1" max="1" width="38" customWidth="1"/>
    <col min="2" max="3" width="13" customWidth="1"/>
    <col min="4" max="4" width="50" customWidth="1"/>
    <col min="5" max="5" width="16" customWidth="1"/>
    <col min="6" max="34" width="13" customWidth="1"/>
  </cols>
  <sheetData>
    <row r="1" spans="1:5" ht="18" x14ac:dyDescent="0.2">
      <c r="A1" s="5" t="s">
        <v>316</v>
      </c>
    </row>
    <row r="2" spans="1:5" x14ac:dyDescent="0.2">
      <c r="A2" s="6" t="s">
        <v>255</v>
      </c>
    </row>
    <row r="3" spans="1:5" x14ac:dyDescent="0.2">
      <c r="D3" s="23" t="s">
        <v>256</v>
      </c>
    </row>
    <row r="4" spans="1:5" x14ac:dyDescent="0.2">
      <c r="A4" t="s">
        <v>257</v>
      </c>
      <c r="B4" s="47">
        <f>Inputs!C13</f>
        <v>0.4</v>
      </c>
      <c r="D4" t="s">
        <v>258</v>
      </c>
      <c r="E4" s="48">
        <f>SUM($AD$32:$AD$91)</f>
        <v>12.5</v>
      </c>
    </row>
    <row r="5" spans="1:5" x14ac:dyDescent="0.2">
      <c r="A5" t="s">
        <v>259</v>
      </c>
      <c r="B5" s="49">
        <v>0.5</v>
      </c>
      <c r="D5" t="s">
        <v>260</v>
      </c>
      <c r="E5" s="50">
        <f>SUM($U$32:$U$91)</f>
        <v>8.9433309277720152</v>
      </c>
    </row>
    <row r="6" spans="1:5" x14ac:dyDescent="0.2">
      <c r="A6" t="s">
        <v>261</v>
      </c>
      <c r="B6" s="46">
        <f>Curves!E38</f>
        <v>28</v>
      </c>
      <c r="D6" t="s">
        <v>317</v>
      </c>
      <c r="E6" s="51">
        <f>INDEX(Curves!$J$5:$J$34,MAX(1,MIN(29,INT(MIN(30,MAX(1,E4))))))+(INDEX(Curves!$J$5:$J$34,MAX(1,MIN(29,INT(MIN(30,MAX(1,E4)))))+1)-INDEX(Curves!$J$5:$J$34,MAX(1,MIN(29,INT(MIN(30,MAX(1,E4)))))))*(MIN(30,MAX(1,E4))-MAX(1,MIN(29,INT(MIN(30,MAX(1,E4))))))</f>
        <v>4.0965000000000001E-2</v>
      </c>
    </row>
    <row r="7" spans="1:5" x14ac:dyDescent="0.2">
      <c r="A7" t="s">
        <v>263</v>
      </c>
      <c r="B7">
        <f>ROUND(2*Inputs!C6,0)</f>
        <v>2</v>
      </c>
      <c r="D7" t="s">
        <v>318</v>
      </c>
      <c r="E7" s="51">
        <f>2*((1+E6/Inputs!$C$18)^(Inputs!$C$18/2)-1)</f>
        <v>4.0553846385828596E-2</v>
      </c>
    </row>
    <row r="8" spans="1:5" x14ac:dyDescent="0.2">
      <c r="A8" t="s">
        <v>265</v>
      </c>
      <c r="B8">
        <f>ROUND(2*Inputs!C7,0)</f>
        <v>46</v>
      </c>
      <c r="D8" t="s">
        <v>266</v>
      </c>
      <c r="E8" s="51">
        <f>Inputs!C9/10000</f>
        <v>0</v>
      </c>
    </row>
    <row r="9" spans="1:5" x14ac:dyDescent="0.2">
      <c r="A9" t="s">
        <v>267</v>
      </c>
      <c r="B9">
        <f>B7+B8</f>
        <v>48</v>
      </c>
      <c r="D9" t="s">
        <v>268</v>
      </c>
      <c r="E9" s="51">
        <f>E7+E8</f>
        <v>4.0553846385828596E-2</v>
      </c>
    </row>
    <row r="10" spans="1:5" x14ac:dyDescent="0.2">
      <c r="A10" t="s">
        <v>269</v>
      </c>
      <c r="B10">
        <f>MAX(B7,1)</f>
        <v>2</v>
      </c>
      <c r="D10" t="s">
        <v>270</v>
      </c>
      <c r="E10" s="51">
        <f>SUMPRODUCT($U$32:$U$91,$Y$32:$Y$91)/E5</f>
        <v>4.1355390333363502E-2</v>
      </c>
    </row>
    <row r="11" spans="1:5" x14ac:dyDescent="0.2">
      <c r="D11" t="s">
        <v>271</v>
      </c>
      <c r="E11" s="51">
        <f>E10-E9</f>
        <v>8.0154394753490649E-4</v>
      </c>
    </row>
    <row r="12" spans="1:5" x14ac:dyDescent="0.2">
      <c r="D12" t="s">
        <v>272</v>
      </c>
      <c r="E12" s="51">
        <f>SUMPRODUCT($U$32:$U$91,$X$32:$X$91)/E5</f>
        <v>3.4477514931643125E-2</v>
      </c>
    </row>
    <row r="13" spans="1:5" x14ac:dyDescent="0.2">
      <c r="D13" t="s">
        <v>273</v>
      </c>
      <c r="E13" s="52">
        <f>SUM($Z$32:$Z$91)</f>
        <v>7.1684727759572546E-3</v>
      </c>
    </row>
    <row r="14" spans="1:5" x14ac:dyDescent="0.2">
      <c r="D14" t="s">
        <v>274</v>
      </c>
      <c r="E14" s="52">
        <f>SUM($AB$32:$AB$91)</f>
        <v>1.2648777129678393E-2</v>
      </c>
    </row>
    <row r="15" spans="1:5" x14ac:dyDescent="0.2">
      <c r="D15" t="s">
        <v>275</v>
      </c>
      <c r="E15" s="52">
        <f>SUM($AC$32:$AC$91)</f>
        <v>-5.480304353721141E-3</v>
      </c>
    </row>
    <row r="16" spans="1:5" x14ac:dyDescent="0.2">
      <c r="D16" t="s">
        <v>176</v>
      </c>
      <c r="E16" s="48">
        <f>SUM($AE$32:$AE$91)</f>
        <v>3</v>
      </c>
    </row>
    <row r="17" spans="1:34" x14ac:dyDescent="0.2">
      <c r="D17" t="s">
        <v>175</v>
      </c>
      <c r="E17" s="48">
        <f>E4-E16</f>
        <v>9.5</v>
      </c>
    </row>
    <row r="18" spans="1:34" x14ac:dyDescent="0.2">
      <c r="D18" t="s">
        <v>276</v>
      </c>
      <c r="E18" s="50">
        <f>SUMPRODUCT($U$32:$U$91,$AA$32:$AA$91)</f>
        <v>1.3386448890444238</v>
      </c>
    </row>
    <row r="19" spans="1:34" x14ac:dyDescent="0.2">
      <c r="D19" t="s">
        <v>277</v>
      </c>
      <c r="E19" s="51">
        <f>IF(E18&gt;0,SUMPRODUCT($U$32:$U$91,$AA$32:$AA$91,$Y$32:$Y$91)/E18,0)</f>
        <v>5.0002787799042082E-2</v>
      </c>
    </row>
    <row r="20" spans="1:34" x14ac:dyDescent="0.2">
      <c r="D20" t="s">
        <v>278</v>
      </c>
      <c r="E20" s="51">
        <f>IF(E5-E18&gt;0,(SUMPRODUCT($U$32:$U$91,$Y$32:$Y$91)-SUMPRODUCT($U$32:$U$91,$AA$32:$AA$91,$Y$32:$Y$91))/(E5-E18),0)</f>
        <v>3.9833198047973223E-2</v>
      </c>
    </row>
    <row r="21" spans="1:34" x14ac:dyDescent="0.2">
      <c r="D21" t="s">
        <v>279</v>
      </c>
      <c r="E21" s="52">
        <f>SUM($T$32:$T$91)-SUM($AF$32:$AF$91)</f>
        <v>7.1684727759576683E-3</v>
      </c>
    </row>
    <row r="22" spans="1:34" x14ac:dyDescent="0.2">
      <c r="D22" t="s">
        <v>280</v>
      </c>
      <c r="E22" s="50">
        <f>MAX($AH$32:$AH$91)</f>
        <v>1.2490009027033011E-12</v>
      </c>
    </row>
    <row r="23" spans="1:34" x14ac:dyDescent="0.2">
      <c r="D23" t="s">
        <v>281</v>
      </c>
      <c r="E23" s="52">
        <f>MIN($L$32:$L$91)</f>
        <v>-3.7853775822430684E-3</v>
      </c>
    </row>
    <row r="24" spans="1:34" x14ac:dyDescent="0.2">
      <c r="D24" t="s">
        <v>282</v>
      </c>
      <c r="E24" s="48">
        <f>SUMPRODUCT($B$32:$B$91,$R$32:$R$91)-SUMPRODUCT($B$32:$B$91-0.5,$AG$32:$AG$91)</f>
        <v>12.500000000000002</v>
      </c>
    </row>
    <row r="25" spans="1:34" x14ac:dyDescent="0.2">
      <c r="D25" t="s">
        <v>283</v>
      </c>
      <c r="E25" s="51">
        <f>INDEX(Curves!$Z$6:$Z$65,MAX(1,MIN(59,INT(2*MIN(30,MAX(0.5,E4))))))+(INDEX(Curves!$Z$6:$Z$65,MAX(1,MIN(59,INT(2*MIN(30,MAX(0.5,E4)))))+1)-INDEX(Curves!$Z$6:$Z$65,MAX(1,MIN(59,INT(2*MIN(30,MAX(0.5,E4)))))))*(2*MIN(30,MAX(0.5,E4))-MAX(1,MIN(59,INT(2*MIN(30,MAX(0.5,E4))))))</f>
        <v>3.4600786593143529E-2</v>
      </c>
    </row>
    <row r="26" spans="1:34" x14ac:dyDescent="0.2">
      <c r="D26" t="s">
        <v>140</v>
      </c>
      <c r="E26" s="53">
        <f>B9/2</f>
        <v>24</v>
      </c>
    </row>
    <row r="30" spans="1:34" ht="60" customHeight="1" x14ac:dyDescent="0.2">
      <c r="A30" s="22" t="s">
        <v>240</v>
      </c>
      <c r="B30" s="22" t="s">
        <v>284</v>
      </c>
      <c r="C30" s="22" t="s">
        <v>285</v>
      </c>
      <c r="D30" s="22" t="s">
        <v>319</v>
      </c>
      <c r="E30" s="22" t="s">
        <v>287</v>
      </c>
      <c r="F30" s="22" t="s">
        <v>242</v>
      </c>
      <c r="G30" s="22" t="s">
        <v>288</v>
      </c>
      <c r="H30" s="22" t="s">
        <v>289</v>
      </c>
      <c r="I30" s="22" t="s">
        <v>290</v>
      </c>
      <c r="J30" s="22" t="s">
        <v>291</v>
      </c>
      <c r="K30" s="22" t="s">
        <v>292</v>
      </c>
      <c r="L30" s="22" t="s">
        <v>293</v>
      </c>
      <c r="M30" s="22" t="s">
        <v>294</v>
      </c>
      <c r="N30" s="22" t="s">
        <v>295</v>
      </c>
      <c r="O30" s="22" t="s">
        <v>296</v>
      </c>
      <c r="P30" s="22" t="s">
        <v>297</v>
      </c>
      <c r="Q30" s="22" t="s">
        <v>298</v>
      </c>
      <c r="R30" s="22" t="s">
        <v>299</v>
      </c>
      <c r="S30" s="22" t="s">
        <v>300</v>
      </c>
      <c r="T30" s="22" t="s">
        <v>301</v>
      </c>
      <c r="U30" s="22" t="s">
        <v>302</v>
      </c>
      <c r="V30" s="22" t="s">
        <v>303</v>
      </c>
      <c r="W30" s="22" t="s">
        <v>304</v>
      </c>
      <c r="X30" s="22" t="s">
        <v>305</v>
      </c>
      <c r="Y30" s="22" t="s">
        <v>320</v>
      </c>
      <c r="Z30" s="22" t="s">
        <v>307</v>
      </c>
      <c r="AA30" s="22" t="s">
        <v>308</v>
      </c>
      <c r="AB30" s="22" t="s">
        <v>309</v>
      </c>
      <c r="AC30" s="22" t="s">
        <v>310</v>
      </c>
      <c r="AD30" s="22" t="s">
        <v>311</v>
      </c>
      <c r="AE30" s="22" t="s">
        <v>312</v>
      </c>
      <c r="AF30" s="22" t="s">
        <v>313</v>
      </c>
      <c r="AG30" s="22" t="s">
        <v>314</v>
      </c>
      <c r="AH30" s="22" t="s">
        <v>315</v>
      </c>
    </row>
    <row r="31" spans="1:34" x14ac:dyDescent="0.2">
      <c r="A31">
        <v>0</v>
      </c>
      <c r="B31">
        <f t="shared" ref="B31:B62" si="0">A31/2</f>
        <v>0</v>
      </c>
      <c r="F31" s="54">
        <f>Curves!W5</f>
        <v>1</v>
      </c>
      <c r="M31">
        <v>1</v>
      </c>
      <c r="N31">
        <v>0</v>
      </c>
      <c r="O31">
        <v>0</v>
      </c>
    </row>
    <row r="32" spans="1:34" x14ac:dyDescent="0.2">
      <c r="A32">
        <v>1</v>
      </c>
      <c r="B32">
        <f t="shared" si="0"/>
        <v>0.5</v>
      </c>
      <c r="C32">
        <f t="shared" ref="C32:C63" si="1">ROUNDUP(A32/2,0)</f>
        <v>1</v>
      </c>
      <c r="D32" s="43">
        <f>INDEX(Curves!$K$5:$K$34,C32)</f>
        <v>3.0093593901522553E-2</v>
      </c>
      <c r="E32">
        <f t="shared" ref="E32:E63" si="2">IF(C32&lt;=$B$6,1,0)</f>
        <v>1</v>
      </c>
      <c r="F32" s="54">
        <f>Curves!W6</f>
        <v>0.98492604881115664</v>
      </c>
      <c r="G32" s="54">
        <f>Curves!X6</f>
        <v>1.5304652777777816E-2</v>
      </c>
      <c r="H32">
        <f>N31+D32*O31</f>
        <v>0</v>
      </c>
      <c r="I32">
        <f>F33*M31*((D32*$B$5+1)-$B$4)</f>
        <v>0.59557160545246568</v>
      </c>
      <c r="J32">
        <f>M31*(F32*((D32*$B$5)-$B$4)+F33*$B$4)</f>
        <v>8.183735300888284E-3</v>
      </c>
      <c r="K32">
        <f>H32+F32*M31*$B$4-1</f>
        <v>-0.60602958047553734</v>
      </c>
      <c r="L32" s="44">
        <f>IF(E32=1,-2*LN((-J32+SQRT(J32^2-4*I32*K32))/(2*I32)),0)</f>
        <v>-3.7853775822430684E-3</v>
      </c>
      <c r="M32" s="44">
        <f t="shared" ref="M32:M63" si="3">M31*EXP(-L32*$B$5)</f>
        <v>1.0018944810571071</v>
      </c>
      <c r="N32">
        <f t="shared" ref="N32:N63" si="4">N31+F32*$B$4*(M31-M32)</f>
        <v>-7.4636949684963173E-4</v>
      </c>
      <c r="O32">
        <f t="shared" ref="O32:O63" si="5">O31+F32*M32*$B$5</f>
        <v>0.49339598627664039</v>
      </c>
      <c r="P32" s="43"/>
      <c r="Q32" s="45">
        <f t="shared" ref="Q32:Q63" si="6">IF(A32&lt;=$B$9,MIN(A32,$B$10)/$B$10-MAX(0,MIN(A32-1,$B$9)-$B$7)/$B$8,0)</f>
        <v>0.5</v>
      </c>
      <c r="R32" s="45">
        <f t="shared" ref="R32:R63" si="7">IF(AND(A32&gt;$B$7,A32&lt;=$B$9),1/$B$8,0)</f>
        <v>0</v>
      </c>
      <c r="S32" s="45">
        <f t="shared" ref="S32:S63" si="8">IF(A32&lt;=$B$10,1/$B$10,0)</f>
        <v>0.5</v>
      </c>
      <c r="T32">
        <f t="shared" ref="T32:T63" si="9">F31*M31*S32</f>
        <v>0.5</v>
      </c>
      <c r="U32" s="44">
        <f t="shared" ref="U32:U63" si="10">F32*M32*$B$5*Q32</f>
        <v>0.24669799313832019</v>
      </c>
      <c r="V32">
        <f t="shared" ref="V32:V63" si="11">M32/M31</f>
        <v>1.0018944810571071</v>
      </c>
      <c r="W32" s="43">
        <f t="shared" ref="W32:W63" si="12">(1-V32)*(1+G32-$B$4)/(V32*$B$5)</f>
        <v>-2.3269576409033418E-3</v>
      </c>
      <c r="X32" s="43">
        <f t="shared" ref="X32:X63" si="13">G32/$B$5</f>
        <v>3.0609305555555633E-2</v>
      </c>
      <c r="Y32" s="43">
        <f t="shared" ref="Y32:Y63" si="14">X32+W32</f>
        <v>2.8282347914652291E-2</v>
      </c>
      <c r="Z32" s="55">
        <f t="shared" ref="Z32:Z63" si="15">U32*(Y32-$E$9)</f>
        <v>-3.027354045639159E-3</v>
      </c>
      <c r="AA32" s="41">
        <f t="shared" ref="AA32:AA63" si="16">MAX(0,MIN(1,(B32-$E$4)/$B$5))</f>
        <v>0</v>
      </c>
      <c r="AB32">
        <f t="shared" ref="AB32:AB63" si="17">Z32*AA32</f>
        <v>0</v>
      </c>
      <c r="AC32">
        <f t="shared" ref="AC32:AC63" si="18">Z32-AB32</f>
        <v>-3.027354045639159E-3</v>
      </c>
      <c r="AD32">
        <f t="shared" ref="AD32:AD63" si="19">Q32*$B$5</f>
        <v>0.25</v>
      </c>
      <c r="AE32">
        <f t="shared" ref="AE32:AE63" si="20">AD32*AA32</f>
        <v>0</v>
      </c>
      <c r="AF32">
        <f t="shared" ref="AF32:AF63" si="21">F32*(M32*(($E$9*$B$5)*Q32+R32)+$B$4*(M31-M32)*Q32)</f>
        <v>9.6313677689988178E-3</v>
      </c>
      <c r="AG32" s="45">
        <f t="shared" ref="AG32:AG63" si="22">S32</f>
        <v>0.5</v>
      </c>
      <c r="AH32" s="45">
        <v>0</v>
      </c>
    </row>
    <row r="33" spans="1:34" x14ac:dyDescent="0.2">
      <c r="A33">
        <v>2</v>
      </c>
      <c r="B33">
        <f t="shared" si="0"/>
        <v>1</v>
      </c>
      <c r="C33">
        <f t="shared" si="1"/>
        <v>1</v>
      </c>
      <c r="D33" s="43">
        <f>INDEX(Curves!$K$5:$K$34,C33)</f>
        <v>3.0093593901522553E-2</v>
      </c>
      <c r="E33">
        <f t="shared" si="2"/>
        <v>1</v>
      </c>
      <c r="F33" s="54">
        <f>Curves!W7</f>
        <v>0.9683354313934347</v>
      </c>
      <c r="G33" s="54">
        <f>Curves!X7</f>
        <v>1.7133130607281499E-2</v>
      </c>
      <c r="L33" s="44">
        <f>L32</f>
        <v>-3.7853775822430684E-3</v>
      </c>
      <c r="M33" s="44">
        <f t="shared" si="3"/>
        <v>1.00379255117269</v>
      </c>
      <c r="N33">
        <f t="shared" si="4"/>
        <v>-1.4815569145247942E-3</v>
      </c>
      <c r="O33">
        <f t="shared" si="5"/>
        <v>0.97939993281130189</v>
      </c>
      <c r="P33" s="43">
        <f>IF(E33=1,(1-N33-F33*M33)/O33,"")</f>
        <v>3.0093593901522428E-2</v>
      </c>
      <c r="Q33" s="45">
        <f t="shared" si="6"/>
        <v>1</v>
      </c>
      <c r="R33" s="45">
        <f t="shared" si="7"/>
        <v>0</v>
      </c>
      <c r="S33" s="45">
        <f t="shared" si="8"/>
        <v>0.5</v>
      </c>
      <c r="T33">
        <f t="shared" si="9"/>
        <v>0.49339598627664039</v>
      </c>
      <c r="U33" s="44">
        <f t="shared" si="10"/>
        <v>0.48600394653466156</v>
      </c>
      <c r="V33">
        <f t="shared" si="11"/>
        <v>1.0018944810571071</v>
      </c>
      <c r="W33" s="43">
        <f t="shared" si="12"/>
        <v>-2.3338725739164073E-3</v>
      </c>
      <c r="X33" s="43">
        <f t="shared" si="13"/>
        <v>3.4266261214562999E-2</v>
      </c>
      <c r="Y33" s="43">
        <f t="shared" si="14"/>
        <v>3.193238864064659E-2</v>
      </c>
      <c r="Z33" s="55">
        <f t="shared" si="15"/>
        <v>-4.1900624890402792E-3</v>
      </c>
      <c r="AA33" s="41">
        <f t="shared" si="16"/>
        <v>0</v>
      </c>
      <c r="AB33">
        <f t="shared" si="17"/>
        <v>0</v>
      </c>
      <c r="AC33">
        <f t="shared" si="18"/>
        <v>-4.1900624890402792E-3</v>
      </c>
      <c r="AD33">
        <f t="shared" si="19"/>
        <v>0.5</v>
      </c>
      <c r="AE33">
        <f t="shared" si="20"/>
        <v>0</v>
      </c>
      <c r="AF33">
        <f t="shared" si="21"/>
        <v>1.8974141972997956E-2</v>
      </c>
      <c r="AG33" s="45">
        <f t="shared" si="22"/>
        <v>0.5</v>
      </c>
      <c r="AH33" s="45">
        <f>IF(E33=1,ABS(P33-D33)*10000,0)</f>
        <v>1.2490009027033011E-12</v>
      </c>
    </row>
    <row r="34" spans="1:34" x14ac:dyDescent="0.2">
      <c r="A34">
        <v>3</v>
      </c>
      <c r="B34">
        <f t="shared" si="0"/>
        <v>1.5</v>
      </c>
      <c r="C34">
        <f t="shared" si="1"/>
        <v>2</v>
      </c>
      <c r="D34" s="43">
        <f>INDEX(Curves!$K$5:$K$34,C34)</f>
        <v>3.2161410912036725E-2</v>
      </c>
      <c r="E34">
        <f t="shared" si="2"/>
        <v>1</v>
      </c>
      <c r="F34" s="54">
        <f>Curves!W8</f>
        <v>0.95147545827470681</v>
      </c>
      <c r="G34" s="54">
        <f>Curves!X8</f>
        <v>1.7719819226130973E-2</v>
      </c>
      <c r="H34">
        <f>N33+D34*O33</f>
        <v>3.0017326771840647E-2</v>
      </c>
      <c r="I34">
        <f>F35*M33*((D34*$B$5+1)-$B$4)</f>
        <v>0.57816385177747065</v>
      </c>
      <c r="J34">
        <f>M33*(F34*((D34*$B$5)-$B$4)+F35*$B$4)</f>
        <v>8.7067248668599873E-3</v>
      </c>
      <c r="K34">
        <f>H34+F34*M33*$B$4-1</f>
        <v>-0.58794908217225039</v>
      </c>
      <c r="L34" s="44">
        <f>IF(E34=1,-2*LN((-J34+SQRT(J34^2-4*I34*K34))/(2*I34)),L33)</f>
        <v>-1.8497514741177131E-3</v>
      </c>
      <c r="M34" s="44">
        <f t="shared" si="3"/>
        <v>1.0047213640003259</v>
      </c>
      <c r="N34">
        <f t="shared" si="4"/>
        <v>-1.8350539588553138E-3</v>
      </c>
      <c r="O34">
        <f t="shared" si="5"/>
        <v>1.4573837929366011</v>
      </c>
      <c r="P34" s="43"/>
      <c r="Q34" s="45">
        <f t="shared" si="6"/>
        <v>1</v>
      </c>
      <c r="R34" s="45">
        <f t="shared" si="7"/>
        <v>2.1739130434782608E-2</v>
      </c>
      <c r="S34" s="45">
        <f t="shared" si="8"/>
        <v>0</v>
      </c>
      <c r="T34">
        <f t="shared" si="9"/>
        <v>0</v>
      </c>
      <c r="U34" s="44">
        <f t="shared" si="10"/>
        <v>0.47798386012529925</v>
      </c>
      <c r="V34">
        <f t="shared" si="11"/>
        <v>1.0009253035665095</v>
      </c>
      <c r="W34" s="43">
        <f t="shared" si="12"/>
        <v>-1.1420999145429101E-3</v>
      </c>
      <c r="X34" s="43">
        <f t="shared" si="13"/>
        <v>3.5439638452261946E-2</v>
      </c>
      <c r="Y34" s="43">
        <f t="shared" si="14"/>
        <v>3.4297538537719038E-2</v>
      </c>
      <c r="Z34" s="55">
        <f t="shared" si="15"/>
        <v>-2.9904141753716107E-3</v>
      </c>
      <c r="AA34" s="41">
        <f t="shared" si="16"/>
        <v>0</v>
      </c>
      <c r="AB34">
        <f t="shared" si="17"/>
        <v>0</v>
      </c>
      <c r="AC34">
        <f t="shared" si="18"/>
        <v>-2.9904141753716107E-3</v>
      </c>
      <c r="AD34">
        <f t="shared" si="19"/>
        <v>0.5</v>
      </c>
      <c r="AE34">
        <f t="shared" si="20"/>
        <v>0</v>
      </c>
      <c r="AF34">
        <f t="shared" si="21"/>
        <v>3.9812493956065786E-2</v>
      </c>
      <c r="AG34" s="45">
        <f t="shared" si="22"/>
        <v>0</v>
      </c>
      <c r="AH34" s="45">
        <v>0</v>
      </c>
    </row>
    <row r="35" spans="1:34" x14ac:dyDescent="0.2">
      <c r="A35">
        <v>4</v>
      </c>
      <c r="B35">
        <f t="shared" si="0"/>
        <v>2</v>
      </c>
      <c r="C35">
        <f t="shared" si="1"/>
        <v>2</v>
      </c>
      <c r="D35" s="43">
        <f>INDEX(Curves!$K$5:$K$34,C35)</f>
        <v>3.2161410912036725E-2</v>
      </c>
      <c r="E35">
        <f t="shared" si="2"/>
        <v>1</v>
      </c>
      <c r="F35" s="54">
        <f>Curves!W9</f>
        <v>0.93490903910882273</v>
      </c>
      <c r="G35" s="54">
        <f>Curves!X9</f>
        <v>1.7719819226130973E-2</v>
      </c>
      <c r="L35" s="44">
        <f>L34</f>
        <v>-1.8497514741177131E-3</v>
      </c>
      <c r="M35" s="44">
        <f t="shared" si="3"/>
        <v>1.0056510362617836</v>
      </c>
      <c r="N35">
        <f t="shared" si="4"/>
        <v>-2.182717559113566E-3</v>
      </c>
      <c r="O35">
        <f t="shared" si="5"/>
        <v>1.9274799149317492</v>
      </c>
      <c r="P35" s="43">
        <f>IF(E35=1,(1-N35-F35*M35)/O35,"")</f>
        <v>3.2161410912036732E-2</v>
      </c>
      <c r="Q35" s="45">
        <f t="shared" si="6"/>
        <v>0.97826086956521741</v>
      </c>
      <c r="R35" s="45">
        <f t="shared" si="7"/>
        <v>2.1739130434782608E-2</v>
      </c>
      <c r="S35" s="45">
        <f t="shared" si="8"/>
        <v>0</v>
      </c>
      <c r="T35">
        <f t="shared" si="9"/>
        <v>0</v>
      </c>
      <c r="U35" s="44">
        <f t="shared" si="10"/>
        <v>0.45987664108220999</v>
      </c>
      <c r="V35">
        <f t="shared" si="11"/>
        <v>1.0009253035665095</v>
      </c>
      <c r="W35" s="43">
        <f t="shared" si="12"/>
        <v>-1.1420999145429101E-3</v>
      </c>
      <c r="X35" s="43">
        <f t="shared" si="13"/>
        <v>3.5439638452261946E-2</v>
      </c>
      <c r="Y35" s="43">
        <f t="shared" si="14"/>
        <v>3.4297538537719038E-2</v>
      </c>
      <c r="Z35" s="55">
        <f t="shared" si="15"/>
        <v>-2.8771298387648926E-3</v>
      </c>
      <c r="AA35" s="41">
        <f t="shared" si="16"/>
        <v>0</v>
      </c>
      <c r="AB35">
        <f t="shared" si="17"/>
        <v>0</v>
      </c>
      <c r="AC35">
        <f t="shared" si="18"/>
        <v>-2.8771298387648926E-3</v>
      </c>
      <c r="AD35">
        <f t="shared" si="19"/>
        <v>0.4891304347826087</v>
      </c>
      <c r="AE35">
        <f t="shared" si="20"/>
        <v>0</v>
      </c>
      <c r="AF35">
        <f t="shared" si="21"/>
        <v>3.8748622788849961E-2</v>
      </c>
      <c r="AG35" s="45">
        <f t="shared" si="22"/>
        <v>0</v>
      </c>
      <c r="AH35" s="45">
        <f>IF(E35=1,ABS(P35-D35)*10000,0)</f>
        <v>6.9388939039072284E-14</v>
      </c>
    </row>
    <row r="36" spans="1:34" x14ac:dyDescent="0.2">
      <c r="A36">
        <v>5</v>
      </c>
      <c r="B36">
        <f t="shared" si="0"/>
        <v>2.5</v>
      </c>
      <c r="C36">
        <f t="shared" si="1"/>
        <v>3</v>
      </c>
      <c r="D36" s="43">
        <f>INDEX(Curves!$K$5:$K$34,C36)</f>
        <v>3.3214204160496141E-2</v>
      </c>
      <c r="E36">
        <f t="shared" si="2"/>
        <v>1</v>
      </c>
      <c r="F36" s="54">
        <f>Curves!W10</f>
        <v>0.91890677437902368</v>
      </c>
      <c r="G36" s="54">
        <f>Curves!X10</f>
        <v>1.7414459416313477E-2</v>
      </c>
      <c r="H36">
        <f>N35+D36*O35</f>
        <v>6.1836993850685286E-2</v>
      </c>
      <c r="I36">
        <f>F37*M35*((D36*$B$5+1)-$B$4)</f>
        <v>0.56005331968000938</v>
      </c>
      <c r="J36">
        <f>M35*(F36*((D36*$B$5)-$B$4)+F37*$B$4)</f>
        <v>9.019717424741492E-3</v>
      </c>
      <c r="K36">
        <f>H36+F36*M35*$B$4-1</f>
        <v>-0.56852318619641939</v>
      </c>
      <c r="L36" s="44">
        <f>IF(E36=1,-2*LN((-J36+SQRT(J36^2-4*I36*K36))/(2*I36)),L35)</f>
        <v>9.7441312745452039E-4</v>
      </c>
      <c r="M36" s="44">
        <f t="shared" si="3"/>
        <v>1.0051611958125284</v>
      </c>
      <c r="N36">
        <f t="shared" si="4"/>
        <v>-2.0026704762393559E-3</v>
      </c>
      <c r="O36">
        <f t="shared" si="5"/>
        <v>2.3893046310192756</v>
      </c>
      <c r="P36" s="43"/>
      <c r="Q36" s="45">
        <f t="shared" si="6"/>
        <v>0.95652173913043481</v>
      </c>
      <c r="R36" s="45">
        <f t="shared" si="7"/>
        <v>2.1739130434782608E-2</v>
      </c>
      <c r="S36" s="45">
        <f t="shared" si="8"/>
        <v>0</v>
      </c>
      <c r="T36">
        <f t="shared" si="9"/>
        <v>0</v>
      </c>
      <c r="U36" s="44">
        <f t="shared" si="10"/>
        <v>0.44174538060545998</v>
      </c>
      <c r="V36">
        <f t="shared" si="11"/>
        <v>0.99951291210211834</v>
      </c>
      <c r="W36" s="43">
        <f t="shared" si="12"/>
        <v>6.0176333395501951E-4</v>
      </c>
      <c r="X36" s="43">
        <f t="shared" si="13"/>
        <v>3.4828918832626954E-2</v>
      </c>
      <c r="Y36" s="43">
        <f t="shared" si="14"/>
        <v>3.5430682166581975E-2</v>
      </c>
      <c r="Z36" s="55">
        <f t="shared" si="15"/>
        <v>-2.2631341279353723E-3</v>
      </c>
      <c r="AA36" s="41">
        <f t="shared" si="16"/>
        <v>0</v>
      </c>
      <c r="AB36">
        <f t="shared" si="17"/>
        <v>0</v>
      </c>
      <c r="AC36">
        <f t="shared" si="18"/>
        <v>-2.2631341279353723E-3</v>
      </c>
      <c r="AD36">
        <f t="shared" si="19"/>
        <v>0.47826086956521741</v>
      </c>
      <c r="AE36">
        <f t="shared" si="20"/>
        <v>0</v>
      </c>
      <c r="AF36">
        <f t="shared" si="21"/>
        <v>3.8166028737625778E-2</v>
      </c>
      <c r="AG36" s="45">
        <f t="shared" si="22"/>
        <v>0</v>
      </c>
      <c r="AH36" s="45">
        <v>0</v>
      </c>
    </row>
    <row r="37" spans="1:34" x14ac:dyDescent="0.2">
      <c r="A37">
        <v>6</v>
      </c>
      <c r="B37">
        <f t="shared" si="0"/>
        <v>3</v>
      </c>
      <c r="C37">
        <f t="shared" si="1"/>
        <v>3</v>
      </c>
      <c r="D37" s="43">
        <f>INDEX(Curves!$K$5:$K$34,C37)</f>
        <v>3.3214204160496141E-2</v>
      </c>
      <c r="E37">
        <f t="shared" si="2"/>
        <v>1</v>
      </c>
      <c r="F37" s="54">
        <f>Curves!W11</f>
        <v>0.90317841060190629</v>
      </c>
      <c r="G37" s="54">
        <f>Curves!X11</f>
        <v>1.7414459416313477E-2</v>
      </c>
      <c r="L37" s="44">
        <f>L36</f>
        <v>9.7441312745452039E-4</v>
      </c>
      <c r="M37" s="44">
        <f t="shared" si="3"/>
        <v>1.0046715939586277</v>
      </c>
      <c r="N37">
        <f t="shared" si="4"/>
        <v>-1.8257913465458513E-3</v>
      </c>
      <c r="O37">
        <f t="shared" si="5"/>
        <v>2.843003477723494</v>
      </c>
      <c r="P37" s="43">
        <f>IF(E37=1,(1-N37-F37*M37)/O37,"")</f>
        <v>3.3214204160496148E-2</v>
      </c>
      <c r="Q37" s="45">
        <f t="shared" si="6"/>
        <v>0.93478260869565222</v>
      </c>
      <c r="R37" s="45">
        <f t="shared" si="7"/>
        <v>2.1739130434782608E-2</v>
      </c>
      <c r="S37" s="45">
        <f t="shared" si="8"/>
        <v>0</v>
      </c>
      <c r="T37">
        <f t="shared" si="9"/>
        <v>0</v>
      </c>
      <c r="U37" s="44">
        <f t="shared" si="10"/>
        <v>0.42410979148437822</v>
      </c>
      <c r="V37">
        <f t="shared" si="11"/>
        <v>0.99951291210211823</v>
      </c>
      <c r="W37" s="43">
        <f t="shared" si="12"/>
        <v>6.0176333395515666E-4</v>
      </c>
      <c r="X37" s="43">
        <f t="shared" si="13"/>
        <v>3.4828918832626954E-2</v>
      </c>
      <c r="Y37" s="43">
        <f t="shared" si="14"/>
        <v>3.5430682166582107E-2</v>
      </c>
      <c r="Z37" s="55">
        <f t="shared" si="15"/>
        <v>-2.1727841087648557E-3</v>
      </c>
      <c r="AA37" s="41">
        <f t="shared" si="16"/>
        <v>0</v>
      </c>
      <c r="AB37">
        <f t="shared" si="17"/>
        <v>0</v>
      </c>
      <c r="AC37">
        <f t="shared" si="18"/>
        <v>-2.1727841087648557E-3</v>
      </c>
      <c r="AD37">
        <f t="shared" si="19"/>
        <v>0.46739130434782611</v>
      </c>
      <c r="AE37">
        <f t="shared" si="20"/>
        <v>0</v>
      </c>
      <c r="AF37">
        <f t="shared" si="21"/>
        <v>3.7090663682088874E-2</v>
      </c>
      <c r="AG37" s="45">
        <f t="shared" si="22"/>
        <v>0</v>
      </c>
      <c r="AH37" s="45">
        <f>IF(E37=1,ABS(P37-D37)*10000,0)</f>
        <v>6.9388939039072284E-14</v>
      </c>
    </row>
    <row r="38" spans="1:34" x14ac:dyDescent="0.2">
      <c r="A38">
        <v>7</v>
      </c>
      <c r="B38">
        <f t="shared" si="0"/>
        <v>3.5</v>
      </c>
      <c r="C38">
        <f t="shared" si="1"/>
        <v>4</v>
      </c>
      <c r="D38" s="43">
        <f>INDEX(Curves!$K$5:$K$34,C38)</f>
        <v>3.4020648862739478E-2</v>
      </c>
      <c r="E38">
        <f t="shared" si="2"/>
        <v>1</v>
      </c>
      <c r="F38" s="54">
        <f>Curves!W12</f>
        <v>0.88817133984289254</v>
      </c>
      <c r="G38" s="54">
        <f>Curves!X12</f>
        <v>1.6896594255865427E-2</v>
      </c>
      <c r="H38">
        <f>N37+D38*O37</f>
        <v>9.4895031684632314E-2</v>
      </c>
      <c r="I38">
        <f>F39*M37*((D38*$B$5+1)-$B$4)</f>
        <v>0.54142277002791461</v>
      </c>
      <c r="J38">
        <f>M37*(F38*((D38*$B$5)-$B$4)+F39*$B$4)</f>
        <v>9.2479983965257917E-3</v>
      </c>
      <c r="K38">
        <f>H38+F38*M37*$B$4-1</f>
        <v>-0.54817676203203614</v>
      </c>
      <c r="L38" s="44">
        <f>IF(E38=1,-2*LN((-J38+SQRT(J38^2-4*I38*K38))/(2*I38)),L37)</f>
        <v>4.5778039527219535E-3</v>
      </c>
      <c r="M38" s="44">
        <f t="shared" si="3"/>
        <v>1.0023746289283513</v>
      </c>
      <c r="N38">
        <f t="shared" si="4"/>
        <v>-1.0097519431406957E-3</v>
      </c>
      <c r="O38">
        <f t="shared" si="5"/>
        <v>3.2881436863234019</v>
      </c>
      <c r="P38" s="43"/>
      <c r="Q38" s="45">
        <f t="shared" si="6"/>
        <v>0.91304347826086962</v>
      </c>
      <c r="R38" s="45">
        <f t="shared" si="7"/>
        <v>2.1739130434782608E-2</v>
      </c>
      <c r="S38" s="45">
        <f t="shared" si="8"/>
        <v>0</v>
      </c>
      <c r="T38">
        <f t="shared" si="9"/>
        <v>0</v>
      </c>
      <c r="U38" s="44">
        <f t="shared" si="10"/>
        <v>0.40643236437382907</v>
      </c>
      <c r="V38">
        <f t="shared" si="11"/>
        <v>0.99771371556229049</v>
      </c>
      <c r="W38" s="43">
        <f t="shared" si="12"/>
        <v>2.8272661007337336E-3</v>
      </c>
      <c r="X38" s="43">
        <f t="shared" si="13"/>
        <v>3.3793188511730854E-2</v>
      </c>
      <c r="Y38" s="43">
        <f t="shared" si="14"/>
        <v>3.662045461246459E-2</v>
      </c>
      <c r="Z38" s="55">
        <f t="shared" si="15"/>
        <v>-1.5986577184569015E-3</v>
      </c>
      <c r="AA38" s="41">
        <f t="shared" si="16"/>
        <v>0</v>
      </c>
      <c r="AB38">
        <f t="shared" si="17"/>
        <v>0</v>
      </c>
      <c r="AC38">
        <f t="shared" si="18"/>
        <v>-1.5986577184569015E-3</v>
      </c>
      <c r="AD38">
        <f t="shared" si="19"/>
        <v>0.45652173913043481</v>
      </c>
      <c r="AE38">
        <f t="shared" si="20"/>
        <v>0</v>
      </c>
      <c r="AF38">
        <f t="shared" si="21"/>
        <v>3.6581397239367826E-2</v>
      </c>
      <c r="AG38" s="45">
        <f t="shared" si="22"/>
        <v>0</v>
      </c>
      <c r="AH38" s="45">
        <v>0</v>
      </c>
    </row>
    <row r="39" spans="1:34" x14ac:dyDescent="0.2">
      <c r="A39">
        <v>8</v>
      </c>
      <c r="B39">
        <f t="shared" si="0"/>
        <v>4</v>
      </c>
      <c r="C39">
        <f t="shared" si="1"/>
        <v>4</v>
      </c>
      <c r="D39" s="43">
        <f>INDEX(Curves!$K$5:$K$34,C39)</f>
        <v>3.4020648862739478E-2</v>
      </c>
      <c r="E39">
        <f t="shared" si="2"/>
        <v>1</v>
      </c>
      <c r="F39" s="54">
        <f>Curves!W13</f>
        <v>0.87341362421695368</v>
      </c>
      <c r="G39" s="54">
        <f>Curves!X13</f>
        <v>1.6896594255865427E-2</v>
      </c>
      <c r="L39" s="44">
        <f>L38</f>
        <v>4.5778039527219535E-3</v>
      </c>
      <c r="M39" s="44">
        <f t="shared" si="3"/>
        <v>1.0000829154134774</v>
      </c>
      <c r="N39">
        <f t="shared" si="4"/>
        <v>-2.0910642046350291E-4</v>
      </c>
      <c r="O39">
        <f t="shared" si="5"/>
        <v>3.724886708157773</v>
      </c>
      <c r="P39" s="43">
        <f>IF(E39=1,(1-N39-F39*M39)/O39,"")</f>
        <v>3.4020648862739457E-2</v>
      </c>
      <c r="Q39" s="45">
        <f t="shared" si="6"/>
        <v>0.89130434782608692</v>
      </c>
      <c r="R39" s="45">
        <f t="shared" si="7"/>
        <v>2.1739130434782608E-2</v>
      </c>
      <c r="S39" s="45">
        <f t="shared" si="8"/>
        <v>0</v>
      </c>
      <c r="T39">
        <f t="shared" si="9"/>
        <v>0</v>
      </c>
      <c r="U39" s="44">
        <f t="shared" si="10"/>
        <v>0.38927095424367864</v>
      </c>
      <c r="V39">
        <f t="shared" si="11"/>
        <v>0.99771371556229038</v>
      </c>
      <c r="W39" s="43">
        <f t="shared" si="12"/>
        <v>2.8272661007338715E-3</v>
      </c>
      <c r="X39" s="43">
        <f t="shared" si="13"/>
        <v>3.3793188511730854E-2</v>
      </c>
      <c r="Y39" s="43">
        <f t="shared" si="14"/>
        <v>3.6620454612464728E-2</v>
      </c>
      <c r="Z39" s="55">
        <f t="shared" si="15"/>
        <v>-1.531155169031588E-3</v>
      </c>
      <c r="AA39" s="41">
        <f t="shared" si="16"/>
        <v>0</v>
      </c>
      <c r="AB39">
        <f t="shared" si="17"/>
        <v>0</v>
      </c>
      <c r="AC39">
        <f t="shared" si="18"/>
        <v>-1.531155169031588E-3</v>
      </c>
      <c r="AD39">
        <f t="shared" si="19"/>
        <v>0.44565217391304346</v>
      </c>
      <c r="AE39">
        <f t="shared" si="20"/>
        <v>0</v>
      </c>
      <c r="AF39">
        <f t="shared" si="21"/>
        <v>3.5488880352569731E-2</v>
      </c>
      <c r="AG39" s="45">
        <f t="shared" si="22"/>
        <v>0</v>
      </c>
      <c r="AH39" s="45">
        <f>IF(E39=1,ABS(P39-D39)*10000,0)</f>
        <v>2.0816681711721685E-13</v>
      </c>
    </row>
    <row r="40" spans="1:34" x14ac:dyDescent="0.2">
      <c r="A40">
        <v>9</v>
      </c>
      <c r="B40">
        <f t="shared" si="0"/>
        <v>4.5</v>
      </c>
      <c r="C40">
        <f t="shared" si="1"/>
        <v>5</v>
      </c>
      <c r="D40" s="43">
        <f>INDEX(Curves!$K$5:$K$34,C40)</f>
        <v>3.4915231649711664E-2</v>
      </c>
      <c r="E40">
        <f t="shared" si="2"/>
        <v>1</v>
      </c>
      <c r="F40" s="54">
        <f>Curves!W14</f>
        <v>0.8587677095081333</v>
      </c>
      <c r="G40" s="54">
        <f>Curves!X14</f>
        <v>1.705457080728956E-2</v>
      </c>
      <c r="H40">
        <f>N39+D40*O39</f>
        <v>0.12984617586379707</v>
      </c>
      <c r="I40">
        <f>F41*M39*((D40*$B$5+1)-$B$4)</f>
        <v>0.52140430199148047</v>
      </c>
      <c r="J40">
        <f>M39*(F40*((D40*$B$5)-$B$4)+F41*$B$4)</f>
        <v>9.2326728731291236E-3</v>
      </c>
      <c r="K40">
        <f>H40+F40*M39*$B$4-1</f>
        <v>-0.52661825830106357</v>
      </c>
      <c r="L40" s="44">
        <f>IF(E40=1,-2*LN((-J40+SQRT(J40^2-4*I40*K40))/(2*I40)),L39)</f>
        <v>7.6690493806244528E-3</v>
      </c>
      <c r="M40" s="44">
        <f t="shared" si="3"/>
        <v>0.99625541579269161</v>
      </c>
      <c r="N40">
        <f t="shared" si="4"/>
        <v>1.1056668125306744E-3</v>
      </c>
      <c r="O40">
        <f t="shared" si="5"/>
        <v>4.1526626989104543</v>
      </c>
      <c r="P40" s="43"/>
      <c r="Q40" s="45">
        <f t="shared" si="6"/>
        <v>0.86956521739130432</v>
      </c>
      <c r="R40" s="45">
        <f t="shared" si="7"/>
        <v>2.1739130434782608E-2</v>
      </c>
      <c r="S40" s="45">
        <f t="shared" si="8"/>
        <v>0</v>
      </c>
      <c r="T40">
        <f t="shared" si="9"/>
        <v>0</v>
      </c>
      <c r="U40" s="44">
        <f t="shared" si="10"/>
        <v>0.37197912239363595</v>
      </c>
      <c r="V40">
        <f t="shared" si="11"/>
        <v>0.99617281771161614</v>
      </c>
      <c r="W40" s="43">
        <f t="shared" si="12"/>
        <v>4.7413064929535537E-3</v>
      </c>
      <c r="X40" s="43">
        <f t="shared" si="13"/>
        <v>3.4109141614579119E-2</v>
      </c>
      <c r="Y40" s="43">
        <f t="shared" si="14"/>
        <v>3.8850448107532673E-2</v>
      </c>
      <c r="Z40" s="55">
        <f t="shared" si="15"/>
        <v>-6.3362859664734786E-4</v>
      </c>
      <c r="AA40" s="41">
        <f t="shared" si="16"/>
        <v>0</v>
      </c>
      <c r="AB40">
        <f t="shared" si="17"/>
        <v>0</v>
      </c>
      <c r="AC40">
        <f t="shared" si="18"/>
        <v>-6.3362859664734786E-4</v>
      </c>
      <c r="AD40">
        <f t="shared" si="19"/>
        <v>0.43478260869565216</v>
      </c>
      <c r="AE40">
        <f t="shared" si="20"/>
        <v>0</v>
      </c>
      <c r="AF40">
        <f t="shared" si="21"/>
        <v>3.4827421380137495E-2</v>
      </c>
      <c r="AG40" s="45">
        <f t="shared" si="22"/>
        <v>0</v>
      </c>
      <c r="AH40" s="45">
        <v>0</v>
      </c>
    </row>
    <row r="41" spans="1:34" x14ac:dyDescent="0.2">
      <c r="A41">
        <v>10</v>
      </c>
      <c r="B41">
        <f t="shared" si="0"/>
        <v>5</v>
      </c>
      <c r="C41">
        <f t="shared" si="1"/>
        <v>5</v>
      </c>
      <c r="D41" s="43">
        <f>INDEX(Curves!$K$5:$K$34,C41)</f>
        <v>3.4915231649711664E-2</v>
      </c>
      <c r="E41">
        <f t="shared" si="2"/>
        <v>1</v>
      </c>
      <c r="F41" s="54">
        <f>Curves!W15</f>
        <v>0.8443673861339458</v>
      </c>
      <c r="G41" s="54">
        <f>Curves!X15</f>
        <v>1.7054570807289782E-2</v>
      </c>
      <c r="L41" s="44">
        <f>L40</f>
        <v>7.6690493806244528E-3</v>
      </c>
      <c r="M41" s="44">
        <f t="shared" si="3"/>
        <v>0.99244256471066328</v>
      </c>
      <c r="N41">
        <f t="shared" si="4"/>
        <v>2.3934456532707753E-3</v>
      </c>
      <c r="O41">
        <f t="shared" si="5"/>
        <v>4.5716557660368604</v>
      </c>
      <c r="P41" s="43">
        <f>IF(E41=1,(1-N41-F41*M41)/O41,"")</f>
        <v>3.4915231649711678E-2</v>
      </c>
      <c r="Q41" s="45">
        <f t="shared" si="6"/>
        <v>0.84782608695652173</v>
      </c>
      <c r="R41" s="45">
        <f t="shared" si="7"/>
        <v>2.1739130434782608E-2</v>
      </c>
      <c r="S41" s="45">
        <f t="shared" si="8"/>
        <v>0</v>
      </c>
      <c r="T41">
        <f t="shared" si="9"/>
        <v>0</v>
      </c>
      <c r="U41" s="44">
        <f t="shared" si="10"/>
        <v>0.35523325256369209</v>
      </c>
      <c r="V41">
        <f t="shared" si="11"/>
        <v>0.99617281771161614</v>
      </c>
      <c r="W41" s="43">
        <f t="shared" si="12"/>
        <v>4.7413064929535554E-3</v>
      </c>
      <c r="X41" s="43">
        <f t="shared" si="13"/>
        <v>3.4109141614579563E-2</v>
      </c>
      <c r="Y41" s="43">
        <f t="shared" si="14"/>
        <v>3.8850448107533117E-2</v>
      </c>
      <c r="Z41" s="55">
        <f t="shared" si="15"/>
        <v>-6.051037108102961E-4</v>
      </c>
      <c r="AA41" s="41">
        <f t="shared" si="16"/>
        <v>0</v>
      </c>
      <c r="AB41">
        <f t="shared" si="17"/>
        <v>0</v>
      </c>
      <c r="AC41">
        <f t="shared" si="18"/>
        <v>-6.051037108102961E-4</v>
      </c>
      <c r="AD41">
        <f t="shared" si="19"/>
        <v>0.42391304347826086</v>
      </c>
      <c r="AE41">
        <f t="shared" si="20"/>
        <v>0</v>
      </c>
      <c r="AF41">
        <f t="shared" si="21"/>
        <v>3.3714977126077433E-2</v>
      </c>
      <c r="AG41" s="45">
        <f t="shared" si="22"/>
        <v>0</v>
      </c>
      <c r="AH41" s="45">
        <f>IF(E41=1,ABS(P41-D41)*10000,0)</f>
        <v>1.3877787807814457E-13</v>
      </c>
    </row>
    <row r="42" spans="1:34" x14ac:dyDescent="0.2">
      <c r="A42">
        <v>11</v>
      </c>
      <c r="B42">
        <f t="shared" si="0"/>
        <v>5.5</v>
      </c>
      <c r="C42">
        <f t="shared" si="1"/>
        <v>6</v>
      </c>
      <c r="D42" s="43">
        <f>INDEX(Curves!$K$5:$K$34,C42)</f>
        <v>3.5652229630592114E-2</v>
      </c>
      <c r="E42">
        <f t="shared" si="2"/>
        <v>1</v>
      </c>
      <c r="F42" s="54">
        <f>Curves!W16</f>
        <v>0.8302085358740654</v>
      </c>
      <c r="G42" s="54">
        <f>Curves!X16</f>
        <v>1.705457080728956E-2</v>
      </c>
      <c r="H42">
        <f>N41+D42*O41</f>
        <v>0.1653831668160374</v>
      </c>
      <c r="I42">
        <f>F43*M41*((D42*$B$5+1)-$B$4)</f>
        <v>0.50051210130945867</v>
      </c>
      <c r="J42">
        <f>M41*(F42*((D42*$B$5)-$B$4)+F43*$B$4)</f>
        <v>9.1610608163464526E-3</v>
      </c>
      <c r="K42">
        <f>H42+F42*M41*$B$4-1</f>
        <v>-0.50504311774894572</v>
      </c>
      <c r="L42" s="44">
        <f>IF(E42=1,-2*LN((-J42+SQRT(J42^2-4*I42*K42))/(2*I42)),L41)</f>
        <v>9.2088030560797864E-3</v>
      </c>
      <c r="M42" s="44">
        <f t="shared" si="3"/>
        <v>0.98788346466742272</v>
      </c>
      <c r="N42">
        <f t="shared" si="4"/>
        <v>3.907447161991629E-3</v>
      </c>
      <c r="O42">
        <f t="shared" si="5"/>
        <v>4.9817304084447303</v>
      </c>
      <c r="P42" s="43"/>
      <c r="Q42" s="45">
        <f t="shared" si="6"/>
        <v>0.82608695652173914</v>
      </c>
      <c r="R42" s="45">
        <f t="shared" si="7"/>
        <v>2.1739130434782608E-2</v>
      </c>
      <c r="S42" s="45">
        <f t="shared" si="8"/>
        <v>0</v>
      </c>
      <c r="T42">
        <f t="shared" si="9"/>
        <v>0</v>
      </c>
      <c r="U42" s="44">
        <f t="shared" si="10"/>
        <v>0.33875731329345782</v>
      </c>
      <c r="V42">
        <f t="shared" si="11"/>
        <v>0.99540618247810675</v>
      </c>
      <c r="W42" s="43">
        <f t="shared" si="12"/>
        <v>5.695435992334099E-3</v>
      </c>
      <c r="X42" s="43">
        <f t="shared" si="13"/>
        <v>3.4109141614579119E-2</v>
      </c>
      <c r="Y42" s="43">
        <f t="shared" si="14"/>
        <v>3.9804577606913222E-2</v>
      </c>
      <c r="Z42" s="55">
        <f t="shared" si="15"/>
        <v>-2.5382027848004196E-4</v>
      </c>
      <c r="AA42" s="41">
        <f t="shared" si="16"/>
        <v>0</v>
      </c>
      <c r="AB42">
        <f t="shared" si="17"/>
        <v>0</v>
      </c>
      <c r="AC42">
        <f t="shared" si="18"/>
        <v>-2.5382027848004196E-4</v>
      </c>
      <c r="AD42">
        <f t="shared" si="19"/>
        <v>0.41304347826086957</v>
      </c>
      <c r="AE42">
        <f t="shared" si="20"/>
        <v>0</v>
      </c>
      <c r="AF42">
        <f t="shared" si="21"/>
        <v>3.2817941222490474E-2</v>
      </c>
      <c r="AG42" s="45">
        <f t="shared" si="22"/>
        <v>0</v>
      </c>
      <c r="AH42" s="45">
        <v>0</v>
      </c>
    </row>
    <row r="43" spans="1:34" x14ac:dyDescent="0.2">
      <c r="A43">
        <v>12</v>
      </c>
      <c r="B43">
        <f t="shared" si="0"/>
        <v>6</v>
      </c>
      <c r="C43">
        <f t="shared" si="1"/>
        <v>6</v>
      </c>
      <c r="D43" s="43">
        <f>INDEX(Curves!$K$5:$K$34,C43)</f>
        <v>3.5652229630592114E-2</v>
      </c>
      <c r="E43">
        <f t="shared" si="2"/>
        <v>1</v>
      </c>
      <c r="F43" s="54">
        <f>Curves!W17</f>
        <v>0.81628710956491279</v>
      </c>
      <c r="G43" s="54">
        <f>Curves!X17</f>
        <v>1.705457080728956E-2</v>
      </c>
      <c r="L43" s="44">
        <f>L42</f>
        <v>9.2088030560797864E-3</v>
      </c>
      <c r="M43" s="44">
        <f t="shared" si="3"/>
        <v>0.98334530829784494</v>
      </c>
      <c r="N43">
        <f t="shared" si="4"/>
        <v>5.3892225802621239E-3</v>
      </c>
      <c r="O43">
        <f t="shared" si="5"/>
        <v>5.3830764581520629</v>
      </c>
      <c r="P43" s="43">
        <f>IF(E43=1,(1-N43-F43*M43)/O43,"")</f>
        <v>3.5652229630592149E-2</v>
      </c>
      <c r="Q43" s="45">
        <f t="shared" si="6"/>
        <v>0.80434782608695654</v>
      </c>
      <c r="R43" s="45">
        <f t="shared" si="7"/>
        <v>2.1739130434782608E-2</v>
      </c>
      <c r="S43" s="45">
        <f t="shared" si="8"/>
        <v>0</v>
      </c>
      <c r="T43">
        <f t="shared" si="9"/>
        <v>0</v>
      </c>
      <c r="U43" s="44">
        <f t="shared" si="10"/>
        <v>0.32282182259068087</v>
      </c>
      <c r="V43">
        <f t="shared" si="11"/>
        <v>0.99540618247810675</v>
      </c>
      <c r="W43" s="43">
        <f t="shared" si="12"/>
        <v>5.695435992334099E-3</v>
      </c>
      <c r="X43" s="43">
        <f t="shared" si="13"/>
        <v>3.4109141614579119E-2</v>
      </c>
      <c r="Y43" s="43">
        <f t="shared" si="14"/>
        <v>3.9804577606913222E-2</v>
      </c>
      <c r="Z43" s="55">
        <f t="shared" si="15"/>
        <v>-2.4188031281975497E-4</v>
      </c>
      <c r="AA43" s="41">
        <f t="shared" si="16"/>
        <v>0</v>
      </c>
      <c r="AB43">
        <f t="shared" si="17"/>
        <v>0</v>
      </c>
      <c r="AC43">
        <f t="shared" si="18"/>
        <v>-2.4188031281975497E-4</v>
      </c>
      <c r="AD43">
        <f t="shared" si="19"/>
        <v>0.40217391304347827</v>
      </c>
      <c r="AE43">
        <f t="shared" si="20"/>
        <v>0</v>
      </c>
      <c r="AF43">
        <f t="shared" si="21"/>
        <v>3.1733357687915562E-2</v>
      </c>
      <c r="AG43" s="45">
        <f t="shared" si="22"/>
        <v>0</v>
      </c>
      <c r="AH43" s="45">
        <f>IF(E43=1,ABS(P43-D43)*10000,0)</f>
        <v>3.4694469519536142E-13</v>
      </c>
    </row>
    <row r="44" spans="1:34" x14ac:dyDescent="0.2">
      <c r="A44">
        <v>13</v>
      </c>
      <c r="B44">
        <f t="shared" si="0"/>
        <v>6.5</v>
      </c>
      <c r="C44">
        <f t="shared" si="1"/>
        <v>7</v>
      </c>
      <c r="D44" s="43">
        <f>INDEX(Curves!$K$5:$K$34,C44)</f>
        <v>3.6919242385421658E-2</v>
      </c>
      <c r="E44">
        <f t="shared" si="2"/>
        <v>1</v>
      </c>
      <c r="F44" s="54">
        <f>Curves!W18</f>
        <v>0.80259912594167193</v>
      </c>
      <c r="G44" s="54">
        <f>Curves!X18</f>
        <v>1.7054570807289338E-2</v>
      </c>
      <c r="H44">
        <f>N43+D44*O43</f>
        <v>0.20412832711803525</v>
      </c>
      <c r="I44">
        <f>F45*M43*((D44*$B$5+1)-$B$4)</f>
        <v>0.47992329054367372</v>
      </c>
      <c r="J44">
        <f>M43*(F44*((D44*$B$5)-$B$4)+F45*$B$4)</f>
        <v>9.2752017147910582E-3</v>
      </c>
      <c r="K44">
        <f>H44+F44*M43*$B$4-1</f>
        <v>-0.48017883890648705</v>
      </c>
      <c r="L44" s="44">
        <f>IF(E44=1,-2*LN((-J44+SQRT(J44^2-4*I44*K44))/(2*I44)),L43)</f>
        <v>1.8788645772644743E-2</v>
      </c>
      <c r="M44" s="44">
        <f t="shared" si="3"/>
        <v>0.97415070113828417</v>
      </c>
      <c r="N44">
        <f t="shared" si="4"/>
        <v>8.3410560481183317E-3</v>
      </c>
      <c r="O44">
        <f t="shared" si="5"/>
        <v>5.7740027087865897</v>
      </c>
      <c r="P44" s="43"/>
      <c r="Q44" s="45">
        <f t="shared" si="6"/>
        <v>0.78260869565217395</v>
      </c>
      <c r="R44" s="45">
        <f t="shared" si="7"/>
        <v>2.1739130434782608E-2</v>
      </c>
      <c r="S44" s="45">
        <f t="shared" si="8"/>
        <v>0</v>
      </c>
      <c r="T44">
        <f t="shared" si="9"/>
        <v>0</v>
      </c>
      <c r="U44" s="44">
        <f t="shared" si="10"/>
        <v>0.30594228310528188</v>
      </c>
      <c r="V44">
        <f t="shared" si="11"/>
        <v>0.99064966590883874</v>
      </c>
      <c r="W44" s="43">
        <f t="shared" si="12"/>
        <v>1.1648247787441765E-2</v>
      </c>
      <c r="X44" s="43">
        <f t="shared" si="13"/>
        <v>3.4109141614578675E-2</v>
      </c>
      <c r="Y44" s="43">
        <f t="shared" si="14"/>
        <v>4.575738940202044E-2</v>
      </c>
      <c r="Z44" s="55">
        <f t="shared" si="15"/>
        <v>1.5919838306102775E-3</v>
      </c>
      <c r="AA44" s="41">
        <f t="shared" si="16"/>
        <v>0</v>
      </c>
      <c r="AB44">
        <f t="shared" si="17"/>
        <v>0</v>
      </c>
      <c r="AC44">
        <f t="shared" si="18"/>
        <v>1.5919838306102775E-3</v>
      </c>
      <c r="AD44">
        <f t="shared" si="19"/>
        <v>0.39130434782608697</v>
      </c>
      <c r="AE44">
        <f t="shared" si="20"/>
        <v>0</v>
      </c>
      <c r="AF44">
        <f t="shared" si="21"/>
        <v>3.1714060397891659E-2</v>
      </c>
      <c r="AG44" s="45">
        <f t="shared" si="22"/>
        <v>0</v>
      </c>
      <c r="AH44" s="45">
        <v>0</v>
      </c>
    </row>
    <row r="45" spans="1:34" x14ac:dyDescent="0.2">
      <c r="A45">
        <v>14</v>
      </c>
      <c r="B45">
        <f t="shared" si="0"/>
        <v>7</v>
      </c>
      <c r="C45">
        <f t="shared" si="1"/>
        <v>7</v>
      </c>
      <c r="D45" s="43">
        <f>INDEX(Curves!$K$5:$K$34,C45)</f>
        <v>3.6919242385421658E-2</v>
      </c>
      <c r="E45">
        <f t="shared" si="2"/>
        <v>1</v>
      </c>
      <c r="F45" s="54">
        <f>Curves!W19</f>
        <v>0.78914067049972247</v>
      </c>
      <c r="G45" s="54">
        <f>Curves!X19</f>
        <v>1.705457080728956E-2</v>
      </c>
      <c r="L45" s="44">
        <f>L44</f>
        <v>1.8788645772644743E-2</v>
      </c>
      <c r="M45" s="44">
        <f t="shared" si="3"/>
        <v>0.96504206662750225</v>
      </c>
      <c r="N45">
        <f t="shared" si="4"/>
        <v>1.1216253626188475E-2</v>
      </c>
      <c r="O45">
        <f t="shared" si="5"/>
        <v>6.1547796805460226</v>
      </c>
      <c r="P45" s="43">
        <f>IF(E45=1,(1-N45-F45*M45)/O45,"")</f>
        <v>3.691924238542163E-2</v>
      </c>
      <c r="Q45" s="45">
        <f t="shared" si="6"/>
        <v>0.76086956521739135</v>
      </c>
      <c r="R45" s="45">
        <f t="shared" si="7"/>
        <v>2.1739130434782608E-2</v>
      </c>
      <c r="S45" s="45">
        <f t="shared" si="8"/>
        <v>0</v>
      </c>
      <c r="T45">
        <f t="shared" si="9"/>
        <v>0</v>
      </c>
      <c r="U45" s="44">
        <f t="shared" si="10"/>
        <v>0.28972160894739429</v>
      </c>
      <c r="V45">
        <f t="shared" si="11"/>
        <v>0.99064966590883874</v>
      </c>
      <c r="W45" s="43">
        <f t="shared" si="12"/>
        <v>1.164824778744177E-2</v>
      </c>
      <c r="X45" s="43">
        <f t="shared" si="13"/>
        <v>3.4109141614579119E-2</v>
      </c>
      <c r="Y45" s="43">
        <f t="shared" si="14"/>
        <v>4.5757389402020891E-2</v>
      </c>
      <c r="Z45" s="55">
        <f t="shared" si="15"/>
        <v>1.5075788548782089E-3</v>
      </c>
      <c r="AA45" s="41">
        <f t="shared" si="16"/>
        <v>0</v>
      </c>
      <c r="AB45">
        <f t="shared" si="17"/>
        <v>0</v>
      </c>
      <c r="AC45">
        <f t="shared" si="18"/>
        <v>1.5075788548782089E-3</v>
      </c>
      <c r="AD45">
        <f t="shared" si="19"/>
        <v>0.38043478260869568</v>
      </c>
      <c r="AE45">
        <f t="shared" si="20"/>
        <v>0</v>
      </c>
      <c r="AF45">
        <f t="shared" si="21"/>
        <v>3.0492496466327731E-2</v>
      </c>
      <c r="AG45" s="45">
        <f t="shared" si="22"/>
        <v>0</v>
      </c>
      <c r="AH45" s="45">
        <f>IF(E45=1,ABS(P45-D45)*10000,0)</f>
        <v>2.7755575615628914E-13</v>
      </c>
    </row>
    <row r="46" spans="1:34" x14ac:dyDescent="0.2">
      <c r="A46">
        <v>15</v>
      </c>
      <c r="B46">
        <f t="shared" si="0"/>
        <v>7.5</v>
      </c>
      <c r="C46">
        <f t="shared" si="1"/>
        <v>8</v>
      </c>
      <c r="D46" s="43">
        <f>INDEX(Curves!$K$5:$K$34,C46)</f>
        <v>3.768496092992768E-2</v>
      </c>
      <c r="E46">
        <f t="shared" si="2"/>
        <v>1</v>
      </c>
      <c r="F46" s="54">
        <f>Curves!W20</f>
        <v>0.77556900558767727</v>
      </c>
      <c r="G46" s="54">
        <f>Curves!X20</f>
        <v>1.7498977930095805E-2</v>
      </c>
      <c r="H46">
        <f>N45+D46*O45</f>
        <v>0.2431588854198781</v>
      </c>
      <c r="I46">
        <f>F47*M45*((D46*$B$5+1)-$B$4)</f>
        <v>0.45521108195156912</v>
      </c>
      <c r="J46">
        <f>M45*(F46*((D46*$B$5)-$B$4)+F47*$B$4)</f>
        <v>8.9539886325840264E-3</v>
      </c>
      <c r="K46">
        <f>H46+F46*M45*$B$4-1</f>
        <v>-0.45745842819429439</v>
      </c>
      <c r="L46" s="44">
        <f>IF(E46=1,-2*LN((-J46+SQRT(J46^2-4*I46*K46))/(2*I46)),L45)</f>
        <v>1.4696494810300935E-2</v>
      </c>
      <c r="M46" s="44">
        <f t="shared" si="3"/>
        <v>0.95797668962689964</v>
      </c>
      <c r="N46">
        <f t="shared" si="4"/>
        <v>1.340812859197224E-2</v>
      </c>
      <c r="O46">
        <f t="shared" si="5"/>
        <v>6.5262681948210775</v>
      </c>
      <c r="P46" s="43"/>
      <c r="Q46" s="45">
        <f t="shared" si="6"/>
        <v>0.73913043478260865</v>
      </c>
      <c r="R46" s="45">
        <f t="shared" si="7"/>
        <v>2.1739130434782608E-2</v>
      </c>
      <c r="S46" s="45">
        <f t="shared" si="8"/>
        <v>0</v>
      </c>
      <c r="T46">
        <f t="shared" si="9"/>
        <v>0</v>
      </c>
      <c r="U46" s="44">
        <f t="shared" si="10"/>
        <v>0.27457846707286654</v>
      </c>
      <c r="V46">
        <f t="shared" si="11"/>
        <v>0.99267868495588618</v>
      </c>
      <c r="W46" s="43">
        <f t="shared" si="12"/>
        <v>9.1084952771911722E-3</v>
      </c>
      <c r="X46" s="43">
        <f t="shared" si="13"/>
        <v>3.499795586019161E-2</v>
      </c>
      <c r="Y46" s="43">
        <f t="shared" si="14"/>
        <v>4.4106451137382784E-2</v>
      </c>
      <c r="Z46" s="55">
        <f t="shared" si="15"/>
        <v>9.754687667975308E-4</v>
      </c>
      <c r="AA46" s="41">
        <f t="shared" si="16"/>
        <v>0</v>
      </c>
      <c r="AB46">
        <f t="shared" si="17"/>
        <v>0</v>
      </c>
      <c r="AC46">
        <f t="shared" si="18"/>
        <v>9.754687667975308E-4</v>
      </c>
      <c r="AD46">
        <f t="shared" si="19"/>
        <v>0.36956521739130432</v>
      </c>
      <c r="AE46">
        <f t="shared" si="20"/>
        <v>0</v>
      </c>
      <c r="AF46">
        <f t="shared" si="21"/>
        <v>2.8906969004676226E-2</v>
      </c>
      <c r="AG46" s="45">
        <f t="shared" si="22"/>
        <v>0</v>
      </c>
      <c r="AH46" s="45">
        <v>0</v>
      </c>
    </row>
    <row r="47" spans="1:34" x14ac:dyDescent="0.2">
      <c r="A47">
        <v>16</v>
      </c>
      <c r="B47">
        <f t="shared" si="0"/>
        <v>8</v>
      </c>
      <c r="C47">
        <f t="shared" si="1"/>
        <v>8</v>
      </c>
      <c r="D47" s="43">
        <f>INDEX(Curves!$K$5:$K$34,C47)</f>
        <v>3.768496092992768E-2</v>
      </c>
      <c r="E47">
        <f t="shared" si="2"/>
        <v>1</v>
      </c>
      <c r="F47" s="54">
        <f>Curves!W21</f>
        <v>0.76223074657570844</v>
      </c>
      <c r="G47" s="54">
        <f>Curves!X21</f>
        <v>1.7498977930095805E-2</v>
      </c>
      <c r="L47" s="44">
        <f>L46</f>
        <v>1.4696494810300935E-2</v>
      </c>
      <c r="M47" s="44">
        <f t="shared" si="3"/>
        <v>0.95096304047722391</v>
      </c>
      <c r="N47">
        <f t="shared" si="4"/>
        <v>1.5546536203003204E-2</v>
      </c>
      <c r="O47">
        <f t="shared" si="5"/>
        <v>6.8886948289755079</v>
      </c>
      <c r="P47" s="43">
        <f>IF(E47=1,(1-N47-F47*M47)/O47,"")</f>
        <v>3.768496092992768E-2</v>
      </c>
      <c r="Q47" s="45">
        <f t="shared" si="6"/>
        <v>0.71739130434782616</v>
      </c>
      <c r="R47" s="45">
        <f t="shared" si="7"/>
        <v>2.1739130434782608E-2</v>
      </c>
      <c r="S47" s="45">
        <f t="shared" si="8"/>
        <v>0</v>
      </c>
      <c r="T47">
        <f t="shared" si="9"/>
        <v>0</v>
      </c>
      <c r="U47" s="44">
        <f t="shared" si="10"/>
        <v>0.26000171580643894</v>
      </c>
      <c r="V47">
        <f t="shared" si="11"/>
        <v>0.99267868495588618</v>
      </c>
      <c r="W47" s="43">
        <f t="shared" si="12"/>
        <v>9.1084952771911722E-3</v>
      </c>
      <c r="X47" s="43">
        <f t="shared" si="13"/>
        <v>3.499795586019161E-2</v>
      </c>
      <c r="Y47" s="43">
        <f t="shared" si="14"/>
        <v>4.4106451137382784E-2</v>
      </c>
      <c r="Z47" s="55">
        <f t="shared" si="15"/>
        <v>9.2368333098619658E-4</v>
      </c>
      <c r="AA47" s="41">
        <f t="shared" si="16"/>
        <v>0</v>
      </c>
      <c r="AB47">
        <f t="shared" si="17"/>
        <v>0</v>
      </c>
      <c r="AC47">
        <f t="shared" si="18"/>
        <v>9.2368333098619658E-4</v>
      </c>
      <c r="AD47">
        <f t="shared" si="19"/>
        <v>0.35869565217391308</v>
      </c>
      <c r="AE47">
        <f t="shared" si="20"/>
        <v>0</v>
      </c>
      <c r="AF47">
        <f t="shared" si="21"/>
        <v>2.7835824414015799E-2</v>
      </c>
      <c r="AG47" s="45">
        <f t="shared" si="22"/>
        <v>0</v>
      </c>
      <c r="AH47" s="45">
        <f>IF(E47=1,ABS(P47-D47)*10000,0)</f>
        <v>0</v>
      </c>
    </row>
    <row r="48" spans="1:34" x14ac:dyDescent="0.2">
      <c r="A48">
        <v>17</v>
      </c>
      <c r="B48">
        <f t="shared" si="0"/>
        <v>8.5</v>
      </c>
      <c r="C48">
        <f t="shared" si="1"/>
        <v>9</v>
      </c>
      <c r="D48" s="43">
        <f>INDEX(Curves!$K$5:$K$34,C48)</f>
        <v>3.8509259238230786E-2</v>
      </c>
      <c r="E48">
        <f t="shared" si="2"/>
        <v>1</v>
      </c>
      <c r="F48" s="54">
        <f>Curves!W22</f>
        <v>0.74903791123182406</v>
      </c>
      <c r="G48" s="54">
        <f>Curves!X22</f>
        <v>1.761304087023885E-2</v>
      </c>
      <c r="H48">
        <f>N47+D48*O47</f>
        <v>0.28082507118508093</v>
      </c>
      <c r="I48">
        <f>F49*M47*((D48*$B$5+1)-$B$4)</f>
        <v>0.43346499952090006</v>
      </c>
      <c r="J48">
        <f>M47*(F48*((D48*$B$5)-$B$4)+F49*$B$4)</f>
        <v>8.7837137753209379E-3</v>
      </c>
      <c r="K48">
        <f>H48+F48*M47*$B$4-1</f>
        <v>-0.4342519810158294</v>
      </c>
      <c r="L48" s="44">
        <f>IF(E48=1,-2*LN((-J48+SQRT(J48^2-4*I48*K48))/(2*I48)),L47)</f>
        <v>1.8431322311181757E-2</v>
      </c>
      <c r="M48" s="44">
        <f t="shared" si="3"/>
        <v>0.9422395454511151</v>
      </c>
      <c r="N48">
        <f t="shared" si="4"/>
        <v>1.8160227600202302E-2</v>
      </c>
      <c r="O48">
        <f t="shared" si="5"/>
        <v>7.2415813994778713</v>
      </c>
      <c r="P48" s="43"/>
      <c r="Q48" s="45">
        <f t="shared" si="6"/>
        <v>0.69565217391304346</v>
      </c>
      <c r="R48" s="45">
        <f t="shared" si="7"/>
        <v>2.1739130434782608E-2</v>
      </c>
      <c r="S48" s="45">
        <f t="shared" si="8"/>
        <v>0</v>
      </c>
      <c r="T48">
        <f t="shared" si="9"/>
        <v>0</v>
      </c>
      <c r="U48" s="44">
        <f t="shared" si="10"/>
        <v>0.24548630991468753</v>
      </c>
      <c r="V48">
        <f t="shared" si="11"/>
        <v>0.99082667290441584</v>
      </c>
      <c r="W48" s="43">
        <f t="shared" si="12"/>
        <v>1.1436039415034282E-2</v>
      </c>
      <c r="X48" s="43">
        <f t="shared" si="13"/>
        <v>3.5226081740477699E-2</v>
      </c>
      <c r="Y48" s="43">
        <f t="shared" si="14"/>
        <v>4.6662121155511979E-2</v>
      </c>
      <c r="Z48" s="55">
        <f t="shared" si="15"/>
        <v>1.4994978331545616E-3</v>
      </c>
      <c r="AA48" s="41">
        <f t="shared" si="16"/>
        <v>0</v>
      </c>
      <c r="AB48">
        <f t="shared" si="17"/>
        <v>0</v>
      </c>
      <c r="AC48">
        <f t="shared" si="18"/>
        <v>1.4994978331545616E-3</v>
      </c>
      <c r="AD48">
        <f t="shared" si="19"/>
        <v>0.34782608695652173</v>
      </c>
      <c r="AE48">
        <f t="shared" si="20"/>
        <v>0</v>
      </c>
      <c r="AF48">
        <f t="shared" si="21"/>
        <v>2.7116528574171496E-2</v>
      </c>
      <c r="AG48" s="45">
        <f t="shared" si="22"/>
        <v>0</v>
      </c>
      <c r="AH48" s="45">
        <v>0</v>
      </c>
    </row>
    <row r="49" spans="1:34" x14ac:dyDescent="0.2">
      <c r="A49">
        <v>18</v>
      </c>
      <c r="B49">
        <f t="shared" si="0"/>
        <v>9</v>
      </c>
      <c r="C49">
        <f t="shared" si="1"/>
        <v>9</v>
      </c>
      <c r="D49" s="43">
        <f>INDEX(Curves!$K$5:$K$34,C49)</f>
        <v>3.8509259238230786E-2</v>
      </c>
      <c r="E49">
        <f t="shared" si="2"/>
        <v>1</v>
      </c>
      <c r="F49" s="54">
        <f>Curves!W23</f>
        <v>0.7360734200018354</v>
      </c>
      <c r="G49" s="54">
        <f>Curves!X23</f>
        <v>1.7613040870238628E-2</v>
      </c>
      <c r="L49" s="44">
        <f>L48</f>
        <v>1.8431322311181757E-2</v>
      </c>
      <c r="M49" s="44">
        <f t="shared" si="3"/>
        <v>0.93359607389829746</v>
      </c>
      <c r="N49">
        <f t="shared" si="4"/>
        <v>2.0705119466830724E-2</v>
      </c>
      <c r="O49">
        <f t="shared" si="5"/>
        <v>7.5851790269851742</v>
      </c>
      <c r="P49" s="43">
        <f>IF(E49=1,(1-N49-F49*M49)/O49,"")</f>
        <v>3.8509259238230779E-2</v>
      </c>
      <c r="Q49" s="45">
        <f t="shared" si="6"/>
        <v>0.67391304347826086</v>
      </c>
      <c r="R49" s="45">
        <f t="shared" si="7"/>
        <v>2.1739130434782608E-2</v>
      </c>
      <c r="S49" s="45">
        <f t="shared" si="8"/>
        <v>0</v>
      </c>
      <c r="T49">
        <f t="shared" si="9"/>
        <v>0</v>
      </c>
      <c r="U49" s="44">
        <f t="shared" si="10"/>
        <v>0.2315549228853564</v>
      </c>
      <c r="V49">
        <f t="shared" si="11"/>
        <v>0.99082667290441584</v>
      </c>
      <c r="W49" s="43">
        <f t="shared" si="12"/>
        <v>1.1436039415034278E-2</v>
      </c>
      <c r="X49" s="43">
        <f t="shared" si="13"/>
        <v>3.5226081740477255E-2</v>
      </c>
      <c r="Y49" s="43">
        <f t="shared" si="14"/>
        <v>4.6662121155511535E-2</v>
      </c>
      <c r="Z49" s="55">
        <f t="shared" si="15"/>
        <v>1.4144010932565011E-3</v>
      </c>
      <c r="AA49" s="41">
        <f t="shared" si="16"/>
        <v>0</v>
      </c>
      <c r="AB49">
        <f t="shared" si="17"/>
        <v>0</v>
      </c>
      <c r="AC49">
        <f t="shared" si="18"/>
        <v>1.4144010932565011E-3</v>
      </c>
      <c r="AD49">
        <f t="shared" si="19"/>
        <v>0.33695652173913043</v>
      </c>
      <c r="AE49">
        <f t="shared" si="20"/>
        <v>0</v>
      </c>
      <c r="AF49">
        <f t="shared" si="21"/>
        <v>2.6044505878663981E-2</v>
      </c>
      <c r="AG49" s="45">
        <f t="shared" si="22"/>
        <v>0</v>
      </c>
      <c r="AH49" s="45">
        <f>IF(E49=1,ABS(P49-D49)*10000,0)</f>
        <v>6.9388939039072284E-14</v>
      </c>
    </row>
    <row r="50" spans="1:34" x14ac:dyDescent="0.2">
      <c r="A50">
        <v>19</v>
      </c>
      <c r="B50">
        <f t="shared" si="0"/>
        <v>9.5</v>
      </c>
      <c r="C50">
        <f t="shared" si="1"/>
        <v>10</v>
      </c>
      <c r="D50" s="43">
        <f>INDEX(Curves!$K$5:$K$34,C50)</f>
        <v>3.9038989328060936E-2</v>
      </c>
      <c r="E50">
        <f t="shared" si="2"/>
        <v>1</v>
      </c>
      <c r="F50" s="54">
        <f>Curves!W24</f>
        <v>0.72325053620339352</v>
      </c>
      <c r="G50" s="54">
        <f>Curves!X24</f>
        <v>1.7729518550727796E-2</v>
      </c>
      <c r="H50">
        <f>N49+D50*O49</f>
        <v>0.31682284255273657</v>
      </c>
      <c r="I50">
        <f>F51*M49*((D50*$B$5+1)-$B$4)</f>
        <v>0.41102703375938909</v>
      </c>
      <c r="J50">
        <f>M49*(F50*((D50*$B$5)-$B$4)+F51*$B$4)</f>
        <v>8.4748907917845968E-3</v>
      </c>
      <c r="K50">
        <f>H50+F50*M49*$B$4-1</f>
        <v>-0.41308761302953279</v>
      </c>
      <c r="L50" s="44">
        <f>IF(E50=1,-2*LN((-J50+SQRT(J50^2-4*I50*K50))/(2*I50)),L49)</f>
        <v>1.5566242817396514E-2</v>
      </c>
      <c r="M50" s="44">
        <f t="shared" si="3"/>
        <v>0.92635798630413879</v>
      </c>
      <c r="N50">
        <f t="shared" si="4"/>
        <v>2.2799099760255681E-2</v>
      </c>
      <c r="O50">
        <f t="shared" si="5"/>
        <v>7.9201734821405561</v>
      </c>
      <c r="P50" s="43"/>
      <c r="Q50" s="45">
        <f t="shared" si="6"/>
        <v>0.65217391304347827</v>
      </c>
      <c r="R50" s="45">
        <f t="shared" si="7"/>
        <v>2.1739130434782608E-2</v>
      </c>
      <c r="S50" s="45">
        <f t="shared" si="8"/>
        <v>0</v>
      </c>
      <c r="T50">
        <f t="shared" si="9"/>
        <v>0</v>
      </c>
      <c r="U50" s="44">
        <f t="shared" si="10"/>
        <v>0.21847464466655356</v>
      </c>
      <c r="V50">
        <f t="shared" si="11"/>
        <v>0.99224708865373057</v>
      </c>
      <c r="W50" s="43">
        <f t="shared" si="12"/>
        <v>9.653245140372092E-3</v>
      </c>
      <c r="X50" s="43">
        <f t="shared" si="13"/>
        <v>3.5459037101455593E-2</v>
      </c>
      <c r="Y50" s="43">
        <f t="shared" si="14"/>
        <v>4.5112282241827686E-2</v>
      </c>
      <c r="Z50" s="55">
        <f t="shared" si="15"/>
        <v>9.9590265387467826E-4</v>
      </c>
      <c r="AA50" s="41">
        <f t="shared" si="16"/>
        <v>0</v>
      </c>
      <c r="AB50">
        <f t="shared" si="17"/>
        <v>0</v>
      </c>
      <c r="AC50">
        <f t="shared" si="18"/>
        <v>9.9590265387467826E-4</v>
      </c>
      <c r="AD50">
        <f t="shared" si="19"/>
        <v>0.32608695652173914</v>
      </c>
      <c r="AE50">
        <f t="shared" si="20"/>
        <v>0</v>
      </c>
      <c r="AF50">
        <f t="shared" si="21"/>
        <v>2.4790602811908355E-2</v>
      </c>
      <c r="AG50" s="45">
        <f t="shared" si="22"/>
        <v>0</v>
      </c>
      <c r="AH50" s="45">
        <v>0</v>
      </c>
    </row>
    <row r="51" spans="1:34" x14ac:dyDescent="0.2">
      <c r="A51">
        <v>20</v>
      </c>
      <c r="B51">
        <f t="shared" si="0"/>
        <v>10</v>
      </c>
      <c r="C51">
        <f t="shared" si="1"/>
        <v>10</v>
      </c>
      <c r="D51" s="43">
        <f>INDEX(Curves!$K$5:$K$34,C51)</f>
        <v>3.9038989328060936E-2</v>
      </c>
      <c r="E51">
        <f t="shared" si="2"/>
        <v>1</v>
      </c>
      <c r="F51" s="54">
        <f>Curves!W25</f>
        <v>0.71065103548663933</v>
      </c>
      <c r="G51" s="54">
        <f>Curves!X25</f>
        <v>1.7729518550727574E-2</v>
      </c>
      <c r="L51" s="44">
        <f>L50</f>
        <v>1.5566242817396514E-2</v>
      </c>
      <c r="M51" s="44">
        <f t="shared" si="3"/>
        <v>0.9191760149614141</v>
      </c>
      <c r="N51">
        <f t="shared" si="4"/>
        <v>2.4840649908872751E-2</v>
      </c>
      <c r="O51">
        <f t="shared" si="5"/>
        <v>8.2467801755539618</v>
      </c>
      <c r="P51" s="43">
        <f>IF(E51=1,(1-N51-F51*M51)/O51,"")</f>
        <v>3.9038989328060929E-2</v>
      </c>
      <c r="Q51" s="45">
        <f t="shared" si="6"/>
        <v>0.63043478260869568</v>
      </c>
      <c r="R51" s="45">
        <f t="shared" si="7"/>
        <v>2.1739130434782608E-2</v>
      </c>
      <c r="S51" s="45">
        <f t="shared" si="8"/>
        <v>0</v>
      </c>
      <c r="T51">
        <f t="shared" si="9"/>
        <v>0</v>
      </c>
      <c r="U51" s="44">
        <f t="shared" si="10"/>
        <v>0.20590421976062542</v>
      </c>
      <c r="V51">
        <f t="shared" si="11"/>
        <v>0.99224708865373057</v>
      </c>
      <c r="W51" s="43">
        <f t="shared" si="12"/>
        <v>9.6532451403720885E-3</v>
      </c>
      <c r="X51" s="43">
        <f t="shared" si="13"/>
        <v>3.5459037101455149E-2</v>
      </c>
      <c r="Y51" s="43">
        <f t="shared" si="14"/>
        <v>4.5112282241827235E-2</v>
      </c>
      <c r="Z51" s="55">
        <f t="shared" si="15"/>
        <v>9.3860117825825859E-4</v>
      </c>
      <c r="AA51" s="41">
        <f t="shared" si="16"/>
        <v>0</v>
      </c>
      <c r="AB51">
        <f t="shared" si="17"/>
        <v>0</v>
      </c>
      <c r="AC51">
        <f t="shared" si="18"/>
        <v>9.3860117825825859E-4</v>
      </c>
      <c r="AD51">
        <f t="shared" si="19"/>
        <v>0.31521739130434784</v>
      </c>
      <c r="AE51">
        <f t="shared" si="20"/>
        <v>0</v>
      </c>
      <c r="AF51">
        <f t="shared" si="21"/>
        <v>2.3837563340468614E-2</v>
      </c>
      <c r="AG51" s="45">
        <f t="shared" si="22"/>
        <v>0</v>
      </c>
      <c r="AH51" s="45">
        <f>IF(E51=1,ABS(P51-D51)*10000,0)</f>
        <v>6.9388939039072284E-14</v>
      </c>
    </row>
    <row r="52" spans="1:34" x14ac:dyDescent="0.2">
      <c r="A52">
        <v>21</v>
      </c>
      <c r="B52">
        <f t="shared" si="0"/>
        <v>10.5</v>
      </c>
      <c r="C52">
        <f t="shared" si="1"/>
        <v>11</v>
      </c>
      <c r="D52" s="43">
        <f>INDEX(Curves!$K$5:$K$34,C52)</f>
        <v>3.9558775814023672E-2</v>
      </c>
      <c r="E52">
        <f t="shared" si="2"/>
        <v>1</v>
      </c>
      <c r="F52" s="54">
        <f>Curves!W26</f>
        <v>0.69827814352632156</v>
      </c>
      <c r="G52" s="54">
        <f>Curves!X26</f>
        <v>1.771914540792352E-2</v>
      </c>
      <c r="H52">
        <f>N51+D52*O51</f>
        <v>0.35107317806114668</v>
      </c>
      <c r="I52">
        <f>F53*M51*((D52*$B$5+1)-$B$4)</f>
        <v>0.39087357963234087</v>
      </c>
      <c r="J52">
        <f>M51*(F52*((D52*$B$5)-$B$4)+F53*$B$4)</f>
        <v>8.2252699987205163E-3</v>
      </c>
      <c r="K52">
        <f>H52+F52*M51*$B$4-1</f>
        <v>-0.39219061341838191</v>
      </c>
      <c r="L52" s="44">
        <f>IF(E52=1,-2*LN((-J52+SQRT(J52^2-4*I52*K52))/(2*I52)),L51)</f>
        <v>1.7643752375780957E-2</v>
      </c>
      <c r="M52" s="44">
        <f t="shared" si="3"/>
        <v>0.91110282068103399</v>
      </c>
      <c r="N52">
        <f t="shared" si="4"/>
        <v>2.709558395464521E-2</v>
      </c>
      <c r="O52">
        <f t="shared" si="5"/>
        <v>8.5648817686473357</v>
      </c>
      <c r="P52" s="43"/>
      <c r="Q52" s="45">
        <f t="shared" si="6"/>
        <v>0.60869565217391308</v>
      </c>
      <c r="R52" s="45">
        <f t="shared" si="7"/>
        <v>2.1739130434782608E-2</v>
      </c>
      <c r="S52" s="45">
        <f t="shared" si="8"/>
        <v>0</v>
      </c>
      <c r="T52">
        <f t="shared" si="9"/>
        <v>0</v>
      </c>
      <c r="U52" s="44">
        <f t="shared" si="10"/>
        <v>0.19362705666553184</v>
      </c>
      <c r="V52">
        <f t="shared" si="11"/>
        <v>0.99121692238594905</v>
      </c>
      <c r="W52" s="43">
        <f t="shared" si="12"/>
        <v>1.0947099621228026E-2</v>
      </c>
      <c r="X52" s="43">
        <f t="shared" si="13"/>
        <v>3.543829081584704E-2</v>
      </c>
      <c r="Y52" s="43">
        <f t="shared" si="14"/>
        <v>4.6385390437075069E-2</v>
      </c>
      <c r="Z52" s="55">
        <f t="shared" si="15"/>
        <v>1.1291447104582459E-3</v>
      </c>
      <c r="AA52" s="41">
        <f t="shared" si="16"/>
        <v>0</v>
      </c>
      <c r="AB52">
        <f t="shared" si="17"/>
        <v>0</v>
      </c>
      <c r="AC52">
        <f t="shared" si="18"/>
        <v>1.1291447104582459E-3</v>
      </c>
      <c r="AD52">
        <f t="shared" si="19"/>
        <v>0.30434782608695654</v>
      </c>
      <c r="AE52">
        <f t="shared" si="20"/>
        <v>0</v>
      </c>
      <c r="AF52">
        <f t="shared" si="21"/>
        <v>2.3055394509292719E-2</v>
      </c>
      <c r="AG52" s="45">
        <f t="shared" si="22"/>
        <v>0</v>
      </c>
      <c r="AH52" s="45">
        <v>0</v>
      </c>
    </row>
    <row r="53" spans="1:34" x14ac:dyDescent="0.2">
      <c r="A53">
        <v>22</v>
      </c>
      <c r="B53">
        <f t="shared" si="0"/>
        <v>11</v>
      </c>
      <c r="C53">
        <f t="shared" si="1"/>
        <v>11</v>
      </c>
      <c r="D53" s="43">
        <f>INDEX(Curves!$K$5:$K$34,C53)</f>
        <v>3.9558775814023672E-2</v>
      </c>
      <c r="E53">
        <f t="shared" si="2"/>
        <v>1</v>
      </c>
      <c r="F53" s="54">
        <f>Curves!W27</f>
        <v>0.68612067157922718</v>
      </c>
      <c r="G53" s="54">
        <f>Curves!X27</f>
        <v>1.7719145407923298E-2</v>
      </c>
      <c r="L53" s="44">
        <f>L52</f>
        <v>1.7643752375780957E-2</v>
      </c>
      <c r="M53" s="44">
        <f t="shared" si="3"/>
        <v>0.90310053389261169</v>
      </c>
      <c r="N53">
        <f t="shared" si="4"/>
        <v>2.9291797708821964E-2</v>
      </c>
      <c r="O53">
        <f t="shared" si="5"/>
        <v>8.8746997410563147</v>
      </c>
      <c r="P53" s="43">
        <f>IF(E53=1,(1-N53-F53*M53)/O53,"")</f>
        <v>3.9558775814023672E-2</v>
      </c>
      <c r="Q53" s="45">
        <f t="shared" si="6"/>
        <v>0.58695652173913038</v>
      </c>
      <c r="R53" s="45">
        <f t="shared" si="7"/>
        <v>2.1739130434782608E-2</v>
      </c>
      <c r="S53" s="45">
        <f t="shared" si="8"/>
        <v>0</v>
      </c>
      <c r="T53">
        <f t="shared" si="9"/>
        <v>0</v>
      </c>
      <c r="U53" s="44">
        <f t="shared" si="10"/>
        <v>0.18184967945744399</v>
      </c>
      <c r="V53">
        <f t="shared" si="11"/>
        <v>0.99121692238594905</v>
      </c>
      <c r="W53" s="43">
        <f t="shared" si="12"/>
        <v>1.0947099621228022E-2</v>
      </c>
      <c r="X53" s="43">
        <f t="shared" si="13"/>
        <v>3.5438290815846596E-2</v>
      </c>
      <c r="Y53" s="43">
        <f t="shared" si="14"/>
        <v>4.6385390437074618E-2</v>
      </c>
      <c r="Z53" s="55">
        <f t="shared" si="15"/>
        <v>1.0604644164610535E-3</v>
      </c>
      <c r="AA53" s="41">
        <f t="shared" si="16"/>
        <v>0</v>
      </c>
      <c r="AB53">
        <f t="shared" si="17"/>
        <v>0</v>
      </c>
      <c r="AC53">
        <f t="shared" si="18"/>
        <v>1.0604644164610535E-3</v>
      </c>
      <c r="AD53">
        <f t="shared" si="19"/>
        <v>0.29347826086956519</v>
      </c>
      <c r="AE53">
        <f t="shared" si="20"/>
        <v>0</v>
      </c>
      <c r="AF53">
        <f t="shared" si="21"/>
        <v>2.213413257865391E-2</v>
      </c>
      <c r="AG53" s="45">
        <f t="shared" si="22"/>
        <v>0</v>
      </c>
      <c r="AH53" s="45">
        <f>IF(E53=1,ABS(P53-D53)*10000,0)</f>
        <v>0</v>
      </c>
    </row>
    <row r="54" spans="1:34" x14ac:dyDescent="0.2">
      <c r="A54">
        <v>23</v>
      </c>
      <c r="B54">
        <f t="shared" si="0"/>
        <v>11.5</v>
      </c>
      <c r="C54">
        <f t="shared" si="1"/>
        <v>12</v>
      </c>
      <c r="D54" s="43">
        <f>INDEX(Curves!$K$5:$K$34,C54)</f>
        <v>4.0222210119933433E-2</v>
      </c>
      <c r="E54">
        <f t="shared" si="2"/>
        <v>1</v>
      </c>
      <c r="F54" s="54">
        <f>Curves!W28</f>
        <v>0.67411049452692384</v>
      </c>
      <c r="G54" s="54">
        <f>Curves!X28</f>
        <v>1.7816333004475604E-2</v>
      </c>
      <c r="H54">
        <f>N53+D54*O53</f>
        <v>0.38625183544490788</v>
      </c>
      <c r="I54">
        <f>F55*M53*((D54*$B$5+1)-$B$4)</f>
        <v>0.37090892218335741</v>
      </c>
      <c r="J54">
        <f>M53*(F54*((D54*$B$5)-$B$4)+F55*$B$4)</f>
        <v>7.9808157901686706E-3</v>
      </c>
      <c r="K54">
        <f>H54+F54*M53*$B$4-1</f>
        <v>-0.37023234555114115</v>
      </c>
      <c r="L54" s="44">
        <f>IF(E54=1,-2*LN((-J54+SQRT(J54^2-4*I54*K54))/(2*I54)),L53)</f>
        <v>2.336192055010761E-2</v>
      </c>
      <c r="M54" s="44">
        <f t="shared" si="3"/>
        <v>0.89261282493687988</v>
      </c>
      <c r="N54">
        <f t="shared" si="4"/>
        <v>3.2119747577063089E-2</v>
      </c>
      <c r="O54">
        <f t="shared" si="5"/>
        <v>9.1755595774759513</v>
      </c>
      <c r="P54" s="43"/>
      <c r="Q54" s="45">
        <f t="shared" si="6"/>
        <v>0.56521739130434789</v>
      </c>
      <c r="R54" s="45">
        <f t="shared" si="7"/>
        <v>2.1739130434782608E-2</v>
      </c>
      <c r="S54" s="45">
        <f t="shared" si="8"/>
        <v>0</v>
      </c>
      <c r="T54">
        <f t="shared" si="9"/>
        <v>0</v>
      </c>
      <c r="U54" s="44">
        <f t="shared" si="10"/>
        <v>0.17005121188936023</v>
      </c>
      <c r="V54">
        <f t="shared" si="11"/>
        <v>0.98838699728088197</v>
      </c>
      <c r="W54" s="43">
        <f t="shared" si="12"/>
        <v>1.4518003119900575E-2</v>
      </c>
      <c r="X54" s="43">
        <f t="shared" si="13"/>
        <v>3.5632666008951208E-2</v>
      </c>
      <c r="Y54" s="43">
        <f t="shared" si="14"/>
        <v>5.0150669128851785E-2</v>
      </c>
      <c r="Z54" s="55">
        <f t="shared" si="15"/>
        <v>1.6319513377384676E-3</v>
      </c>
      <c r="AA54" s="41">
        <f t="shared" si="16"/>
        <v>0</v>
      </c>
      <c r="AB54">
        <f t="shared" si="17"/>
        <v>0</v>
      </c>
      <c r="AC54">
        <f t="shared" si="18"/>
        <v>1.6319513377384676E-3</v>
      </c>
      <c r="AD54">
        <f t="shared" si="19"/>
        <v>0.28260869565217395</v>
      </c>
      <c r="AE54">
        <f t="shared" si="20"/>
        <v>0</v>
      </c>
      <c r="AF54">
        <f t="shared" si="21"/>
        <v>2.1575499624979538E-2</v>
      </c>
      <c r="AG54" s="45">
        <f t="shared" si="22"/>
        <v>0</v>
      </c>
      <c r="AH54" s="45">
        <v>0</v>
      </c>
    </row>
    <row r="55" spans="1:34" x14ac:dyDescent="0.2">
      <c r="A55">
        <v>24</v>
      </c>
      <c r="B55">
        <f t="shared" si="0"/>
        <v>12</v>
      </c>
      <c r="C55">
        <f t="shared" si="1"/>
        <v>12</v>
      </c>
      <c r="D55" s="43">
        <f>INDEX(Curves!$K$5:$K$34,C55)</f>
        <v>4.0222210119933433E-2</v>
      </c>
      <c r="E55">
        <f t="shared" si="2"/>
        <v>1</v>
      </c>
      <c r="F55" s="54">
        <f>Curves!W29</f>
        <v>0.66231054922947452</v>
      </c>
      <c r="G55" s="54">
        <f>Curves!X29</f>
        <v>1.7816333004475382E-2</v>
      </c>
      <c r="L55" s="44">
        <f>L54</f>
        <v>2.336192055010761E-2</v>
      </c>
      <c r="M55" s="44">
        <f t="shared" si="3"/>
        <v>0.8822469097737683</v>
      </c>
      <c r="N55">
        <f t="shared" si="4"/>
        <v>3.4865929563041714E-2</v>
      </c>
      <c r="O55">
        <f t="shared" si="5"/>
        <v>9.4677202951600865</v>
      </c>
      <c r="P55" s="43">
        <f>IF(E55=1,(1-N55-F55*M55)/O55,"")</f>
        <v>4.0222210119933439E-2</v>
      </c>
      <c r="Q55" s="45">
        <f t="shared" si="6"/>
        <v>0.54347826086956519</v>
      </c>
      <c r="R55" s="45">
        <f t="shared" si="7"/>
        <v>2.1739130434782608E-2</v>
      </c>
      <c r="S55" s="45">
        <f t="shared" si="8"/>
        <v>0</v>
      </c>
      <c r="T55">
        <f t="shared" si="9"/>
        <v>0</v>
      </c>
      <c r="U55" s="44">
        <f t="shared" si="10"/>
        <v>0.158782998741378</v>
      </c>
      <c r="V55">
        <f t="shared" si="11"/>
        <v>0.98838699728088197</v>
      </c>
      <c r="W55" s="43">
        <f t="shared" si="12"/>
        <v>1.451800311990057E-2</v>
      </c>
      <c r="X55" s="43">
        <f t="shared" si="13"/>
        <v>3.5632666008950764E-2</v>
      </c>
      <c r="Y55" s="43">
        <f t="shared" si="14"/>
        <v>5.0150669128851334E-2</v>
      </c>
      <c r="Z55" s="55">
        <f t="shared" si="15"/>
        <v>1.5238122935266071E-3</v>
      </c>
      <c r="AA55" s="41">
        <f t="shared" si="16"/>
        <v>0</v>
      </c>
      <c r="AB55">
        <f t="shared" si="17"/>
        <v>0</v>
      </c>
      <c r="AC55">
        <f t="shared" si="18"/>
        <v>1.5238122935266071E-3</v>
      </c>
      <c r="AD55">
        <f t="shared" si="19"/>
        <v>0.27173913043478259</v>
      </c>
      <c r="AE55">
        <f t="shared" si="20"/>
        <v>0</v>
      </c>
      <c r="AF55">
        <f t="shared" si="21"/>
        <v>2.0634391448720295E-2</v>
      </c>
      <c r="AG55" s="45">
        <f t="shared" si="22"/>
        <v>0</v>
      </c>
      <c r="AH55" s="45">
        <f>IF(E55=1,ABS(P55-D55)*10000,0)</f>
        <v>6.9388939039072284E-14</v>
      </c>
    </row>
    <row r="56" spans="1:34" x14ac:dyDescent="0.2">
      <c r="A56">
        <v>25</v>
      </c>
      <c r="B56">
        <f t="shared" si="0"/>
        <v>12.5</v>
      </c>
      <c r="C56">
        <f t="shared" si="1"/>
        <v>13</v>
      </c>
      <c r="D56" s="43">
        <f>INDEX(Curves!$K$5:$K$34,C56)</f>
        <v>4.0885428762068798E-2</v>
      </c>
      <c r="E56">
        <f t="shared" si="2"/>
        <v>1</v>
      </c>
      <c r="F56" s="54">
        <f>Curves!W30</f>
        <v>0.65065362861681397</v>
      </c>
      <c r="G56" s="54">
        <f>Curves!X30</f>
        <v>1.7915708296964761E-2</v>
      </c>
      <c r="H56">
        <f>N55+D56*O55</f>
        <v>0.42195773323000241</v>
      </c>
      <c r="I56">
        <f>F57*M55*((D56*$B$5+1)-$B$4)</f>
        <v>0.34988866619477071</v>
      </c>
      <c r="J56">
        <f>M55*(F56*((D56*$B$5)-$B$4)+F57*$B$4)</f>
        <v>7.6935676214810161E-3</v>
      </c>
      <c r="K56">
        <f>H56+F56*M55*$B$4-1</f>
        <v>-0.34842740549788831</v>
      </c>
      <c r="L56" s="44">
        <f>IF(E56=1,-2*LN((-J56+SQRT(J56^2-4*I56*K56))/(2*I56)),L55)</f>
        <v>2.6219335431508759E-2</v>
      </c>
      <c r="M56" s="44">
        <f t="shared" si="3"/>
        <v>0.87075642870335879</v>
      </c>
      <c r="N56">
        <f t="shared" si="4"/>
        <v>3.7856458844247619E-2</v>
      </c>
      <c r="O56">
        <f t="shared" si="5"/>
        <v>9.7510007101487162</v>
      </c>
      <c r="P56" s="43"/>
      <c r="Q56" s="45">
        <f t="shared" si="6"/>
        <v>0.52173913043478259</v>
      </c>
      <c r="R56" s="45">
        <f t="shared" si="7"/>
        <v>2.1739130434782608E-2</v>
      </c>
      <c r="S56" s="45">
        <f t="shared" si="8"/>
        <v>0</v>
      </c>
      <c r="T56">
        <f t="shared" si="9"/>
        <v>0</v>
      </c>
      <c r="U56" s="44">
        <f t="shared" si="10"/>
        <v>0.14779847738537177</v>
      </c>
      <c r="V56">
        <f t="shared" si="11"/>
        <v>0.98697588969355987</v>
      </c>
      <c r="W56" s="43">
        <f t="shared" si="12"/>
        <v>1.6308001905579402E-2</v>
      </c>
      <c r="X56" s="43">
        <f t="shared" si="13"/>
        <v>3.5831416593929521E-2</v>
      </c>
      <c r="Y56" s="43">
        <f t="shared" si="14"/>
        <v>5.2139418499508927E-2</v>
      </c>
      <c r="Z56" s="55">
        <f t="shared" si="15"/>
        <v>1.7123299180403762E-3</v>
      </c>
      <c r="AA56" s="41">
        <f t="shared" si="16"/>
        <v>0</v>
      </c>
      <c r="AB56">
        <f t="shared" si="17"/>
        <v>0</v>
      </c>
      <c r="AC56">
        <f t="shared" si="18"/>
        <v>1.7123299180403762E-3</v>
      </c>
      <c r="AD56">
        <f t="shared" si="19"/>
        <v>0.2608695652173913</v>
      </c>
      <c r="AE56">
        <f t="shared" si="20"/>
        <v>0</v>
      </c>
      <c r="AF56">
        <f t="shared" si="21"/>
        <v>1.9870612676776166E-2</v>
      </c>
      <c r="AG56" s="45">
        <f t="shared" si="22"/>
        <v>0</v>
      </c>
      <c r="AH56" s="45">
        <v>0</v>
      </c>
    </row>
    <row r="57" spans="1:34" x14ac:dyDescent="0.2">
      <c r="A57">
        <v>26</v>
      </c>
      <c r="B57">
        <f t="shared" si="0"/>
        <v>13</v>
      </c>
      <c r="C57">
        <f t="shared" si="1"/>
        <v>13</v>
      </c>
      <c r="D57" s="43">
        <f>INDEX(Curves!$K$5:$K$34,C57)</f>
        <v>4.0885428762068798E-2</v>
      </c>
      <c r="E57">
        <f t="shared" si="2"/>
        <v>1</v>
      </c>
      <c r="F57" s="54">
        <f>Curves!W31</f>
        <v>0.63920187429408781</v>
      </c>
      <c r="G57" s="54">
        <f>Curves!X31</f>
        <v>1.7915708296964983E-2</v>
      </c>
      <c r="L57" s="44">
        <f>L56</f>
        <v>2.6219335431508759E-2</v>
      </c>
      <c r="M57" s="44">
        <f t="shared" si="3"/>
        <v>0.85941560092588443</v>
      </c>
      <c r="N57">
        <f t="shared" si="4"/>
        <v>4.0756090192810845E-2</v>
      </c>
      <c r="O57">
        <f t="shared" si="5"/>
        <v>10.025670741603419</v>
      </c>
      <c r="P57" s="43">
        <f>IF(E57=1,(1-N57-F57*M57)/O57,"")</f>
        <v>4.0885428762068812E-2</v>
      </c>
      <c r="Q57" s="45">
        <f t="shared" si="6"/>
        <v>0.5</v>
      </c>
      <c r="R57" s="45">
        <f t="shared" si="7"/>
        <v>2.1739130434782608E-2</v>
      </c>
      <c r="S57" s="45">
        <f t="shared" si="8"/>
        <v>0</v>
      </c>
      <c r="T57">
        <f t="shared" si="9"/>
        <v>0</v>
      </c>
      <c r="U57" s="44">
        <f t="shared" si="10"/>
        <v>0.13733501572735127</v>
      </c>
      <c r="V57">
        <f t="shared" si="11"/>
        <v>0.98697588969355998</v>
      </c>
      <c r="W57" s="43">
        <f t="shared" si="12"/>
        <v>1.6308001905579267E-2</v>
      </c>
      <c r="X57" s="43">
        <f t="shared" si="13"/>
        <v>3.5831416593929966E-2</v>
      </c>
      <c r="Y57" s="43">
        <f t="shared" si="14"/>
        <v>5.2139418499509232E-2</v>
      </c>
      <c r="Z57" s="55">
        <f t="shared" si="15"/>
        <v>1.5911047284426925E-3</v>
      </c>
      <c r="AA57" s="41">
        <f t="shared" si="16"/>
        <v>1</v>
      </c>
      <c r="AB57">
        <f t="shared" si="17"/>
        <v>1.5911047284426925E-3</v>
      </c>
      <c r="AC57">
        <f t="shared" si="18"/>
        <v>0</v>
      </c>
      <c r="AD57">
        <f t="shared" si="19"/>
        <v>0.25</v>
      </c>
      <c r="AE57">
        <f t="shared" si="20"/>
        <v>0.25</v>
      </c>
      <c r="AF57">
        <f t="shared" si="21"/>
        <v>1.8961454086123212E-2</v>
      </c>
      <c r="AG57" s="45">
        <f t="shared" si="22"/>
        <v>0</v>
      </c>
      <c r="AH57" s="45">
        <f>IF(E57=1,ABS(P57-D57)*10000,0)</f>
        <v>1.3877787807814457E-13</v>
      </c>
    </row>
    <row r="58" spans="1:34" x14ac:dyDescent="0.2">
      <c r="A58">
        <v>27</v>
      </c>
      <c r="B58">
        <f t="shared" si="0"/>
        <v>13.5</v>
      </c>
      <c r="C58">
        <f t="shared" si="1"/>
        <v>14</v>
      </c>
      <c r="D58" s="43">
        <f>INDEX(Curves!$K$5:$K$34,C58)</f>
        <v>4.154843195061142E-2</v>
      </c>
      <c r="E58">
        <f t="shared" si="2"/>
        <v>1</v>
      </c>
      <c r="F58" s="54">
        <f>Curves!W32</f>
        <v>0.62788896221153712</v>
      </c>
      <c r="G58" s="54">
        <f>Curves!X32</f>
        <v>1.8017376898463944E-2</v>
      </c>
      <c r="H58">
        <f>N57+D58*O57</f>
        <v>0.45730698875955639</v>
      </c>
      <c r="I58">
        <f>F59*M57*((D58*$B$5+1)-$B$4)</f>
        <v>0.32905201954741786</v>
      </c>
      <c r="J58">
        <f>M57*(F58*((D58*$B$5)-$B$4)+F59*$B$4)</f>
        <v>7.3899640882647832E-3</v>
      </c>
      <c r="K58">
        <f>H58+F58*M57*$B$4-1</f>
        <v>-0.32684598333094039</v>
      </c>
      <c r="L58" s="44">
        <f>IF(E58=1,-2*LN((-J58+SQRT(J58^2-4*I58*K58))/(2*I58)),L57)</f>
        <v>2.9260324120006027E-2</v>
      </c>
      <c r="M58" s="44">
        <f t="shared" si="3"/>
        <v>0.84693373986819476</v>
      </c>
      <c r="N58">
        <f t="shared" si="4"/>
        <v>4.3890979307203391E-2</v>
      </c>
      <c r="O58">
        <f t="shared" si="5"/>
        <v>10.291560915097307</v>
      </c>
      <c r="P58" s="43"/>
      <c r="Q58" s="45">
        <f t="shared" si="6"/>
        <v>0.47826086956521741</v>
      </c>
      <c r="R58" s="45">
        <f t="shared" si="7"/>
        <v>2.1739130434782608E-2</v>
      </c>
      <c r="S58" s="45">
        <f t="shared" si="8"/>
        <v>0</v>
      </c>
      <c r="T58">
        <f t="shared" si="9"/>
        <v>0</v>
      </c>
      <c r="U58" s="44">
        <f t="shared" si="10"/>
        <v>0.12716486558403359</v>
      </c>
      <c r="V58">
        <f t="shared" si="11"/>
        <v>0.98547633875363394</v>
      </c>
      <c r="W58" s="43">
        <f t="shared" si="12"/>
        <v>1.8216317680022898E-2</v>
      </c>
      <c r="X58" s="43">
        <f t="shared" si="13"/>
        <v>3.6034753796927887E-2</v>
      </c>
      <c r="Y58" s="43">
        <f t="shared" si="14"/>
        <v>5.4251071476950782E-2</v>
      </c>
      <c r="Z58" s="55">
        <f t="shared" si="15"/>
        <v>1.7418057875868052E-3</v>
      </c>
      <c r="AA58" s="41">
        <f t="shared" si="16"/>
        <v>1</v>
      </c>
      <c r="AB58">
        <f t="shared" si="17"/>
        <v>1.7418057875868052E-3</v>
      </c>
      <c r="AC58">
        <f t="shared" si="18"/>
        <v>0</v>
      </c>
      <c r="AD58">
        <f t="shared" si="19"/>
        <v>0.2391304347826087</v>
      </c>
      <c r="AE58">
        <f t="shared" si="20"/>
        <v>0.2391304347826087</v>
      </c>
      <c r="AF58">
        <f t="shared" si="21"/>
        <v>1.8216761544230586E-2</v>
      </c>
      <c r="AG58" s="45">
        <f t="shared" si="22"/>
        <v>0</v>
      </c>
      <c r="AH58" s="45">
        <v>0</v>
      </c>
    </row>
    <row r="59" spans="1:34" x14ac:dyDescent="0.2">
      <c r="A59">
        <v>28</v>
      </c>
      <c r="B59">
        <f t="shared" si="0"/>
        <v>14</v>
      </c>
      <c r="C59">
        <f t="shared" si="1"/>
        <v>14</v>
      </c>
      <c r="D59" s="43">
        <f>INDEX(Curves!$K$5:$K$34,C59)</f>
        <v>4.154843195061142E-2</v>
      </c>
      <c r="E59">
        <f t="shared" si="2"/>
        <v>1</v>
      </c>
      <c r="F59" s="54">
        <f>Curves!W33</f>
        <v>0.61677627166295612</v>
      </c>
      <c r="G59" s="54">
        <f>Curves!X33</f>
        <v>1.8017376898464166E-2</v>
      </c>
      <c r="L59" s="44">
        <f>L58</f>
        <v>2.9260324120006027E-2</v>
      </c>
      <c r="M59" s="44">
        <f t="shared" si="3"/>
        <v>0.83463316113223118</v>
      </c>
      <c r="N59">
        <f t="shared" si="4"/>
        <v>4.692566134402909E-2</v>
      </c>
      <c r="O59">
        <f t="shared" si="5"/>
        <v>10.54895187976201</v>
      </c>
      <c r="P59" s="43">
        <f>IF(E59=1,(1-N59-F59*M59)/O59,"")</f>
        <v>4.1548431950611406E-2</v>
      </c>
      <c r="Q59" s="45">
        <f t="shared" si="6"/>
        <v>0.45652173913043481</v>
      </c>
      <c r="R59" s="45">
        <f t="shared" si="7"/>
        <v>2.1739130434782608E-2</v>
      </c>
      <c r="S59" s="45">
        <f t="shared" si="8"/>
        <v>0</v>
      </c>
      <c r="T59">
        <f t="shared" si="9"/>
        <v>0</v>
      </c>
      <c r="U59" s="44">
        <f t="shared" si="10"/>
        <v>0.11750457082519024</v>
      </c>
      <c r="V59">
        <f t="shared" si="11"/>
        <v>0.98547633875363394</v>
      </c>
      <c r="W59" s="43">
        <f t="shared" si="12"/>
        <v>1.8216317680022905E-2</v>
      </c>
      <c r="X59" s="43">
        <f t="shared" si="13"/>
        <v>3.6034753796928332E-2</v>
      </c>
      <c r="Y59" s="43">
        <f t="shared" si="14"/>
        <v>5.425107147695124E-2</v>
      </c>
      <c r="Z59" s="55">
        <f t="shared" si="15"/>
        <v>1.6094865558283935E-3</v>
      </c>
      <c r="AA59" s="41">
        <f t="shared" si="16"/>
        <v>1</v>
      </c>
      <c r="AB59">
        <f t="shared" si="17"/>
        <v>1.6094865558283935E-3</v>
      </c>
      <c r="AC59">
        <f t="shared" si="18"/>
        <v>0</v>
      </c>
      <c r="AD59">
        <f t="shared" si="19"/>
        <v>0.22826086956521741</v>
      </c>
      <c r="AE59">
        <f t="shared" si="20"/>
        <v>0.22826086956521741</v>
      </c>
      <c r="AF59">
        <f t="shared" si="21"/>
        <v>1.7341572143198019E-2</v>
      </c>
      <c r="AG59" s="45">
        <f t="shared" si="22"/>
        <v>0</v>
      </c>
      <c r="AH59" s="45">
        <f>IF(E59=1,ABS(P59-D59)*10000,0)</f>
        <v>1.3877787807814457E-13</v>
      </c>
    </row>
    <row r="60" spans="1:34" x14ac:dyDescent="0.2">
      <c r="A60">
        <v>29</v>
      </c>
      <c r="B60">
        <f t="shared" si="0"/>
        <v>14.5</v>
      </c>
      <c r="C60">
        <f t="shared" si="1"/>
        <v>15</v>
      </c>
      <c r="D60" s="43">
        <f>INDEX(Curves!$K$5:$K$34,C60)</f>
        <v>4.2116549073534237E-2</v>
      </c>
      <c r="E60">
        <f t="shared" si="2"/>
        <v>1</v>
      </c>
      <c r="F60" s="54">
        <f>Curves!W34</f>
        <v>0.60579832719180127</v>
      </c>
      <c r="G60" s="54">
        <f>Curves!X34</f>
        <v>1.8121450618794999E-2</v>
      </c>
      <c r="H60">
        <f>N59+D60*O59</f>
        <v>0.49121111086237701</v>
      </c>
      <c r="I60">
        <f>F61*M59*((D60*$B$5+1)-$B$4)</f>
        <v>0.30842989809613663</v>
      </c>
      <c r="J60">
        <f>M59*(F60*((D60*$B$5)-$B$4)+F61*$B$4)</f>
        <v>7.0476823677043761E-3</v>
      </c>
      <c r="K60">
        <f>H60+F60*M59*$B$4-1</f>
        <v>-0.30654114000453869</v>
      </c>
      <c r="L60" s="44">
        <f>IF(E60=1,-2*LN((-J60+SQRT(J60^2-4*I60*K60))/(2*I60)),L59)</f>
        <v>2.9062589366471294E-2</v>
      </c>
      <c r="M60" s="44">
        <f t="shared" si="3"/>
        <v>0.8225925553828729</v>
      </c>
      <c r="N60">
        <f t="shared" si="4"/>
        <v>4.9843332872563983E-2</v>
      </c>
      <c r="O60">
        <f t="shared" si="5"/>
        <v>10.798114476767697</v>
      </c>
      <c r="P60" s="43"/>
      <c r="Q60" s="45">
        <f t="shared" si="6"/>
        <v>0.43478260869565222</v>
      </c>
      <c r="R60" s="45">
        <f t="shared" si="7"/>
        <v>2.1739130434782608E-2</v>
      </c>
      <c r="S60" s="45">
        <f t="shared" si="8"/>
        <v>0</v>
      </c>
      <c r="T60">
        <f t="shared" si="9"/>
        <v>0</v>
      </c>
      <c r="U60" s="44">
        <f t="shared" si="10"/>
        <v>0.108331563915516</v>
      </c>
      <c r="V60">
        <f t="shared" si="11"/>
        <v>0.98557377503066801</v>
      </c>
      <c r="W60" s="43">
        <f t="shared" si="12"/>
        <v>1.8095366031262543E-2</v>
      </c>
      <c r="X60" s="43">
        <f t="shared" si="13"/>
        <v>3.6242901237589997E-2</v>
      </c>
      <c r="Y60" s="43">
        <f t="shared" si="14"/>
        <v>5.433826726885254E-2</v>
      </c>
      <c r="Z60" s="55">
        <f t="shared" si="15"/>
        <v>1.493287871927682E-3</v>
      </c>
      <c r="AA60" s="41">
        <f t="shared" si="16"/>
        <v>1</v>
      </c>
      <c r="AB60">
        <f t="shared" si="17"/>
        <v>1.493287871927682E-3</v>
      </c>
      <c r="AC60">
        <f t="shared" si="18"/>
        <v>0</v>
      </c>
      <c r="AD60">
        <f t="shared" si="19"/>
        <v>0.21739130434782611</v>
      </c>
      <c r="AE60">
        <f t="shared" si="20"/>
        <v>0.21739130434782611</v>
      </c>
      <c r="AF60">
        <f t="shared" si="21"/>
        <v>1.649497083181144E-2</v>
      </c>
      <c r="AG60" s="45">
        <f t="shared" si="22"/>
        <v>0</v>
      </c>
      <c r="AH60" s="45">
        <v>0</v>
      </c>
    </row>
    <row r="61" spans="1:34" x14ac:dyDescent="0.2">
      <c r="A61">
        <v>30</v>
      </c>
      <c r="B61">
        <f t="shared" si="0"/>
        <v>15</v>
      </c>
      <c r="C61">
        <f t="shared" si="1"/>
        <v>15</v>
      </c>
      <c r="D61" s="43">
        <f>INDEX(Curves!$K$5:$K$34,C61)</f>
        <v>4.2116549073534237E-2</v>
      </c>
      <c r="E61">
        <f t="shared" si="2"/>
        <v>1</v>
      </c>
      <c r="F61" s="54">
        <f>Curves!W35</f>
        <v>0.59501577815064066</v>
      </c>
      <c r="G61" s="54">
        <f>Curves!X35</f>
        <v>1.8121450618794777E-2</v>
      </c>
      <c r="L61" s="44">
        <f>L60</f>
        <v>2.9062589366471294E-2</v>
      </c>
      <c r="M61" s="44">
        <f t="shared" si="3"/>
        <v>0.81072565012082187</v>
      </c>
      <c r="N61">
        <f t="shared" si="4"/>
        <v>5.2667731220059674E-2</v>
      </c>
      <c r="O61">
        <f t="shared" si="5"/>
        <v>11.03931175355436</v>
      </c>
      <c r="P61" s="43">
        <f>IF(E61=1,(1-N61-F61*M61)/O61,"")</f>
        <v>4.2116549073534237E-2</v>
      </c>
      <c r="Q61" s="45">
        <f t="shared" si="6"/>
        <v>0.41304347826086951</v>
      </c>
      <c r="R61" s="45">
        <f t="shared" si="7"/>
        <v>2.1739130434782608E-2</v>
      </c>
      <c r="S61" s="45">
        <f t="shared" si="8"/>
        <v>0</v>
      </c>
      <c r="T61">
        <f t="shared" si="9"/>
        <v>0</v>
      </c>
      <c r="U61" s="44">
        <f t="shared" si="10"/>
        <v>9.9624962151012741E-2</v>
      </c>
      <c r="V61">
        <f t="shared" si="11"/>
        <v>0.98557377503066801</v>
      </c>
      <c r="W61" s="43">
        <f t="shared" si="12"/>
        <v>1.8095366031262536E-2</v>
      </c>
      <c r="X61" s="43">
        <f t="shared" si="13"/>
        <v>3.6242901237589553E-2</v>
      </c>
      <c r="Y61" s="43">
        <f t="shared" si="14"/>
        <v>5.4338267268852089E-2</v>
      </c>
      <c r="Z61" s="55">
        <f t="shared" si="15"/>
        <v>1.3732724087448451E-3</v>
      </c>
      <c r="AA61" s="41">
        <f t="shared" si="16"/>
        <v>1</v>
      </c>
      <c r="AB61">
        <f t="shared" si="17"/>
        <v>1.3732724087448451E-3</v>
      </c>
      <c r="AC61">
        <f t="shared" si="18"/>
        <v>0</v>
      </c>
      <c r="AD61">
        <f t="shared" si="19"/>
        <v>0.20652173913043476</v>
      </c>
      <c r="AE61">
        <f t="shared" si="20"/>
        <v>0.20652173913043476</v>
      </c>
      <c r="AF61">
        <f t="shared" si="21"/>
        <v>1.5693612849869264E-2</v>
      </c>
      <c r="AG61" s="45">
        <f t="shared" si="22"/>
        <v>0</v>
      </c>
      <c r="AH61" s="45">
        <f>IF(E61=1,ABS(P61-D61)*10000,0)</f>
        <v>0</v>
      </c>
    </row>
    <row r="62" spans="1:34" x14ac:dyDescent="0.2">
      <c r="A62">
        <v>31</v>
      </c>
      <c r="B62">
        <f t="shared" si="0"/>
        <v>15.5</v>
      </c>
      <c r="C62">
        <f t="shared" si="1"/>
        <v>16</v>
      </c>
      <c r="D62" s="43">
        <f>INDEX(Curves!$K$5:$K$34,C62)</f>
        <v>4.2325471939605563E-2</v>
      </c>
      <c r="E62">
        <f t="shared" si="2"/>
        <v>1</v>
      </c>
      <c r="F62" s="54">
        <f>Curves!W36</f>
        <v>0.58531642070406809</v>
      </c>
      <c r="G62" s="54">
        <f>Curves!X36</f>
        <v>1.6571135036507867E-2</v>
      </c>
      <c r="H62">
        <f>N61+D62*O61</f>
        <v>0.51991181107768258</v>
      </c>
      <c r="I62">
        <f>F63*M61*((D62*$B$5+1)-$B$4)</f>
        <v>0.28995609483685103</v>
      </c>
      <c r="J62">
        <f>M61*(F62*((D62*$B$5)-$B$4)+F63*$B$4)</f>
        <v>6.9482411790482311E-3</v>
      </c>
      <c r="K62">
        <f>H62+F62*M61*$B$4-1</f>
        <v>-0.29027577464163823</v>
      </c>
      <c r="L62" s="44">
        <f>IF(E62=1,-2*LN((-J62+SQRT(J62^2-4*I62*K62))/(2*I62)),L61)</f>
        <v>2.2847405300509233E-2</v>
      </c>
      <c r="M62" s="44">
        <f t="shared" si="3"/>
        <v>0.80151686074482775</v>
      </c>
      <c r="N62">
        <f t="shared" si="4"/>
        <v>5.4823753474689485E-2</v>
      </c>
      <c r="O62">
        <f t="shared" si="5"/>
        <v>11.273882243586922</v>
      </c>
      <c r="P62" s="43"/>
      <c r="Q62" s="45">
        <f t="shared" si="6"/>
        <v>0.39130434782608692</v>
      </c>
      <c r="R62" s="45">
        <f t="shared" si="7"/>
        <v>2.1739130434782608E-2</v>
      </c>
      <c r="S62" s="45">
        <f t="shared" si="8"/>
        <v>0</v>
      </c>
      <c r="T62">
        <f t="shared" si="9"/>
        <v>0</v>
      </c>
      <c r="U62" s="44">
        <f t="shared" si="10"/>
        <v>9.1788452621437214E-2</v>
      </c>
      <c r="V62">
        <f t="shared" si="11"/>
        <v>0.98864130008144957</v>
      </c>
      <c r="W62" s="43">
        <f t="shared" si="12"/>
        <v>1.416782103022147E-2</v>
      </c>
      <c r="X62" s="43">
        <f t="shared" si="13"/>
        <v>3.3142270073015734E-2</v>
      </c>
      <c r="Y62" s="43">
        <f t="shared" si="14"/>
        <v>4.7310091103237202E-2</v>
      </c>
      <c r="Z62" s="55">
        <f t="shared" si="15"/>
        <v>6.2014524814269531E-4</v>
      </c>
      <c r="AA62" s="41">
        <f t="shared" si="16"/>
        <v>1</v>
      </c>
      <c r="AB62">
        <f t="shared" si="17"/>
        <v>6.2014524814269531E-4</v>
      </c>
      <c r="AC62">
        <f t="shared" si="18"/>
        <v>0</v>
      </c>
      <c r="AD62">
        <f t="shared" si="19"/>
        <v>0.19565217391304346</v>
      </c>
      <c r="AE62">
        <f t="shared" si="20"/>
        <v>0.19565217391304346</v>
      </c>
      <c r="AF62">
        <f t="shared" si="21"/>
        <v>1.4764752647786586E-2</v>
      </c>
      <c r="AG62" s="45">
        <f t="shared" si="22"/>
        <v>0</v>
      </c>
      <c r="AH62" s="45">
        <v>0</v>
      </c>
    </row>
    <row r="63" spans="1:34" x14ac:dyDescent="0.2">
      <c r="A63">
        <v>32</v>
      </c>
      <c r="B63">
        <f t="shared" ref="B63:B94" si="23">A63/2</f>
        <v>16</v>
      </c>
      <c r="C63">
        <f t="shared" si="1"/>
        <v>16</v>
      </c>
      <c r="D63" s="43">
        <f>INDEX(Curves!$K$5:$K$34,C63)</f>
        <v>4.2325471939605563E-2</v>
      </c>
      <c r="E63">
        <f t="shared" si="2"/>
        <v>1</v>
      </c>
      <c r="F63" s="54">
        <f>Curves!W37</f>
        <v>0.57577517256876254</v>
      </c>
      <c r="G63" s="54">
        <f>Curves!X37</f>
        <v>1.6571135036507867E-2</v>
      </c>
      <c r="L63" s="44">
        <f>L62</f>
        <v>2.2847405300509233E-2</v>
      </c>
      <c r="M63" s="44">
        <f t="shared" si="3"/>
        <v>0.79241267124396864</v>
      </c>
      <c r="N63">
        <f t="shared" si="4"/>
        <v>5.6920539987071833E-2</v>
      </c>
      <c r="O63">
        <f t="shared" si="5"/>
        <v>11.502008014852507</v>
      </c>
      <c r="P63" s="43">
        <f>IF(E63=1,(1-N63-F63*M63)/O63,"")</f>
        <v>4.2325471939605563E-2</v>
      </c>
      <c r="Q63" s="45">
        <f t="shared" si="6"/>
        <v>0.36956521739130432</v>
      </c>
      <c r="R63" s="45">
        <f t="shared" si="7"/>
        <v>2.1739130434782608E-2</v>
      </c>
      <c r="S63" s="45">
        <f t="shared" si="8"/>
        <v>0</v>
      </c>
      <c r="T63">
        <f t="shared" si="9"/>
        <v>0</v>
      </c>
      <c r="U63" s="44">
        <f t="shared" si="10"/>
        <v>8.4307350250324903E-2</v>
      </c>
      <c r="V63">
        <f t="shared" si="11"/>
        <v>0.98864130008144946</v>
      </c>
      <c r="W63" s="43">
        <f t="shared" si="12"/>
        <v>1.4167821030221611E-2</v>
      </c>
      <c r="X63" s="43">
        <f t="shared" si="13"/>
        <v>3.3142270073015734E-2</v>
      </c>
      <c r="Y63" s="43">
        <f t="shared" si="14"/>
        <v>4.7310091103237348E-2</v>
      </c>
      <c r="Z63" s="55">
        <f t="shared" si="15"/>
        <v>5.6960108976748705E-4</v>
      </c>
      <c r="AA63" s="41">
        <f t="shared" si="16"/>
        <v>1</v>
      </c>
      <c r="AB63">
        <f t="shared" si="17"/>
        <v>5.6960108976748705E-4</v>
      </c>
      <c r="AC63">
        <f t="shared" si="18"/>
        <v>0</v>
      </c>
      <c r="AD63">
        <f t="shared" si="19"/>
        <v>0.18478260869565216</v>
      </c>
      <c r="AE63">
        <f t="shared" si="20"/>
        <v>0.18478260869565216</v>
      </c>
      <c r="AF63">
        <f t="shared" si="21"/>
        <v>1.4112398488675536E-2</v>
      </c>
      <c r="AG63" s="45">
        <f t="shared" si="22"/>
        <v>0</v>
      </c>
      <c r="AH63" s="45">
        <f>IF(E63=1,ABS(P63-D63)*10000,0)</f>
        <v>0</v>
      </c>
    </row>
    <row r="64" spans="1:34" x14ac:dyDescent="0.2">
      <c r="A64">
        <v>33</v>
      </c>
      <c r="B64">
        <f t="shared" si="23"/>
        <v>16.5</v>
      </c>
      <c r="C64">
        <f t="shared" ref="C64:C91" si="24">ROUNDUP(A64/2,0)</f>
        <v>17</v>
      </c>
      <c r="D64" s="43">
        <f>INDEX(Curves!$K$5:$K$34,C64)</f>
        <v>4.2534373435773265E-2</v>
      </c>
      <c r="E64">
        <f t="shared" ref="E64:E91" si="25">IF(C64&lt;=$B$6,1,0)</f>
        <v>1</v>
      </c>
      <c r="F64" s="54">
        <f>Curves!W38</f>
        <v>0.5664486252481592</v>
      </c>
      <c r="G64" s="54">
        <f>Curves!X38</f>
        <v>1.6464948284617087E-2</v>
      </c>
      <c r="H64">
        <f>N63+D64*O63</f>
        <v>0.54615124415206551</v>
      </c>
      <c r="I64">
        <f>F65*M63*((D64*$B$5+1)-$B$4)</f>
        <v>0.27434556752085276</v>
      </c>
      <c r="J64">
        <f>M63*(F64*((D64*$B$5)-$B$4)+F65*$B$4)</f>
        <v>6.6377075239036553E-3</v>
      </c>
      <c r="K64">
        <f>H64+F64*M63*$B$4-1</f>
        <v>-0.27430432854578746</v>
      </c>
      <c r="L64" s="44">
        <f>IF(E64=1,-2*LN((-J64+SQRT(J64^2-4*I64*K64))/(2*I64)),L63)</f>
        <v>2.4346253054530861E-2</v>
      </c>
      <c r="M64" s="44">
        <f t="shared" ref="M64:M95" si="26">M63*EXP(-L64*$B$5)</f>
        <v>0.78282500586240089</v>
      </c>
      <c r="N64">
        <f t="shared" ref="N64:N95" si="27">N63+F64*$B$4*(M63-M64)</f>
        <v>5.9092907936963202E-2</v>
      </c>
      <c r="O64">
        <f t="shared" ref="O64:O91" si="28">O63+F64*M64*$B$5</f>
        <v>11.723723089042826</v>
      </c>
      <c r="P64" s="43"/>
      <c r="Q64" s="45">
        <f t="shared" ref="Q64:Q91" si="29">IF(A64&lt;=$B$9,MIN(A64,$B$10)/$B$10-MAX(0,MIN(A64-1,$B$9)-$B$7)/$B$8,0)</f>
        <v>0.34782608695652173</v>
      </c>
      <c r="R64" s="45">
        <f t="shared" ref="R64:R91" si="30">IF(AND(A64&gt;$B$7,A64&lt;=$B$9),1/$B$8,0)</f>
        <v>2.1739130434782608E-2</v>
      </c>
      <c r="S64" s="45">
        <f t="shared" ref="S64:S91" si="31">IF(A64&lt;=$B$10,1/$B$10,0)</f>
        <v>0</v>
      </c>
      <c r="T64">
        <f t="shared" ref="T64:T95" si="32">F63*M63*S64</f>
        <v>0</v>
      </c>
      <c r="U64" s="44">
        <f t="shared" ref="U64:U91" si="33">F64*M64*$B$5*Q64</f>
        <v>7.711828667489376E-2</v>
      </c>
      <c r="V64">
        <f t="shared" ref="V64:V91" si="34">M64/M63</f>
        <v>0.98790066624437423</v>
      </c>
      <c r="W64" s="43">
        <f t="shared" ref="W64:W95" si="35">(1-V64)*(1+G64-$B$4)/(V64*$B$5)</f>
        <v>1.5100334300402422E-2</v>
      </c>
      <c r="X64" s="43">
        <f t="shared" ref="X64:X91" si="36">G64/$B$5</f>
        <v>3.2929896569234174E-2</v>
      </c>
      <c r="Y64" s="43">
        <f t="shared" ref="Y64:Y95" si="37">X64+W64</f>
        <v>4.8030230869636592E-2</v>
      </c>
      <c r="Z64" s="55">
        <f t="shared" ref="Z64:Z95" si="38">U64*(Y64-$E$9)</f>
        <v>5.7656596191403271E-4</v>
      </c>
      <c r="AA64" s="41">
        <f t="shared" ref="AA64:AA91" si="39">MAX(0,MIN(1,(B64-$E$4)/$B$5))</f>
        <v>1</v>
      </c>
      <c r="AB64">
        <f t="shared" ref="AB64:AB95" si="40">Z64*AA64</f>
        <v>5.7656596191403271E-4</v>
      </c>
      <c r="AC64">
        <f t="shared" ref="AC64:AC95" si="41">Z64-AB64</f>
        <v>0</v>
      </c>
      <c r="AD64">
        <f t="shared" ref="AD64:AD91" si="42">Q64*$B$5</f>
        <v>0.17391304347826086</v>
      </c>
      <c r="AE64">
        <f t="shared" ref="AE64:AE95" si="43">AD64*AA64</f>
        <v>0.17391304347826086</v>
      </c>
      <c r="AF64">
        <f t="shared" ref="AF64:AF91" si="44">F64*(M64*(($E$9*$B$5)*Q64+R64)+$B$4*(M63-M64)*Q64)</f>
        <v>1.352283522915413E-2</v>
      </c>
      <c r="AG64" s="45">
        <f t="shared" ref="AG64:AG91" si="45">S64</f>
        <v>0</v>
      </c>
      <c r="AH64" s="45">
        <v>0</v>
      </c>
    </row>
    <row r="65" spans="1:34" x14ac:dyDescent="0.2">
      <c r="A65">
        <v>34</v>
      </c>
      <c r="B65">
        <f t="shared" si="23"/>
        <v>17</v>
      </c>
      <c r="C65">
        <f t="shared" si="24"/>
        <v>17</v>
      </c>
      <c r="D65" s="43">
        <f>INDEX(Curves!$K$5:$K$34,C65)</f>
        <v>4.2534373435773265E-2</v>
      </c>
      <c r="E65">
        <f t="shared" si="25"/>
        <v>1</v>
      </c>
      <c r="F65" s="54">
        <f>Curves!W39</f>
        <v>0.55727315162622781</v>
      </c>
      <c r="G65" s="54">
        <f>Curves!X39</f>
        <v>1.6464948284617087E-2</v>
      </c>
      <c r="L65" s="44">
        <f>L64</f>
        <v>2.4346253054530861E-2</v>
      </c>
      <c r="M65" s="44">
        <f t="shared" si="26"/>
        <v>0.77335334484422202</v>
      </c>
      <c r="N65">
        <f t="shared" si="27"/>
        <v>6.1204228891657532E-2</v>
      </c>
      <c r="O65">
        <f t="shared" si="28"/>
        <v>11.939207616943838</v>
      </c>
      <c r="P65" s="43">
        <f>IF(E65=1,(1-N65-F65*M65)/O65,"")</f>
        <v>4.2534373435773265E-2</v>
      </c>
      <c r="Q65" s="45">
        <f t="shared" si="29"/>
        <v>0.32608695652173914</v>
      </c>
      <c r="R65" s="45">
        <f t="shared" si="30"/>
        <v>2.1739130434782608E-2</v>
      </c>
      <c r="S65" s="45">
        <f t="shared" si="31"/>
        <v>0</v>
      </c>
      <c r="T65">
        <f t="shared" si="32"/>
        <v>0</v>
      </c>
      <c r="U65" s="44">
        <f t="shared" si="33"/>
        <v>7.0266693880764883E-2</v>
      </c>
      <c r="V65">
        <f t="shared" si="34"/>
        <v>0.98790066624437423</v>
      </c>
      <c r="W65" s="43">
        <f t="shared" si="35"/>
        <v>1.5100334300402422E-2</v>
      </c>
      <c r="X65" s="43">
        <f t="shared" si="36"/>
        <v>3.2929896569234174E-2</v>
      </c>
      <c r="Y65" s="43">
        <f t="shared" si="37"/>
        <v>4.8030230869636592E-2</v>
      </c>
      <c r="Z65" s="55">
        <f t="shared" si="38"/>
        <v>5.2534081985863683E-4</v>
      </c>
      <c r="AA65" s="41">
        <f t="shared" si="39"/>
        <v>1</v>
      </c>
      <c r="AB65">
        <f t="shared" si="40"/>
        <v>5.2534081985863683E-4</v>
      </c>
      <c r="AC65">
        <f t="shared" si="41"/>
        <v>0</v>
      </c>
      <c r="AD65">
        <f t="shared" si="42"/>
        <v>0.16304347826086957</v>
      </c>
      <c r="AE65">
        <f t="shared" si="43"/>
        <v>0.16304347826086957</v>
      </c>
      <c r="AF65">
        <f t="shared" si="44"/>
        <v>1.2906951451472746E-2</v>
      </c>
      <c r="AG65" s="45">
        <f t="shared" si="45"/>
        <v>0</v>
      </c>
      <c r="AH65" s="45">
        <f>IF(E65=1,ABS(P65-D65)*10000,0)</f>
        <v>0</v>
      </c>
    </row>
    <row r="66" spans="1:34" x14ac:dyDescent="0.2">
      <c r="A66">
        <v>35</v>
      </c>
      <c r="B66">
        <f t="shared" si="23"/>
        <v>17.5</v>
      </c>
      <c r="C66">
        <f t="shared" si="24"/>
        <v>18</v>
      </c>
      <c r="D66" s="43">
        <f>INDEX(Curves!$K$5:$K$34,C66)</f>
        <v>4.2743253568592543E-2</v>
      </c>
      <c r="E66">
        <f t="shared" si="25"/>
        <v>1</v>
      </c>
      <c r="F66" s="54">
        <f>Curves!W40</f>
        <v>0.5483046811466884</v>
      </c>
      <c r="G66" s="54">
        <f>Curves!X40</f>
        <v>1.6356727906796875E-2</v>
      </c>
      <c r="H66">
        <f>N65+D66*O65</f>
        <v>0.57152480747075951</v>
      </c>
      <c r="I66">
        <f>F67*M65*((D66*$B$5+1)-$B$4)</f>
        <v>0.25924188704553819</v>
      </c>
      <c r="J66">
        <f>M65*(F66*((D66*$B$5)-$B$4)+F67*$B$4)</f>
        <v>6.3326103739593928E-3</v>
      </c>
      <c r="K66">
        <f>H66+F66*M65*$B$4-1</f>
        <v>-0.25886188886582606</v>
      </c>
      <c r="L66" s="44">
        <f>IF(E66=1,-2*LN((-J66+SQRT(J66^2-4*I66*K66))/(2*I66)),L65)</f>
        <v>2.5911614515783214E-2</v>
      </c>
      <c r="M66" s="44">
        <f t="shared" si="26"/>
        <v>0.76339855339055385</v>
      </c>
      <c r="N66">
        <f t="shared" si="27"/>
        <v>6.3387532393211654E-2</v>
      </c>
      <c r="O66">
        <f t="shared" si="28"/>
        <v>12.148495117146163</v>
      </c>
      <c r="P66" s="43"/>
      <c r="Q66" s="45">
        <f t="shared" si="29"/>
        <v>0.30434782608695654</v>
      </c>
      <c r="R66" s="45">
        <f t="shared" si="30"/>
        <v>2.1739130434782608E-2</v>
      </c>
      <c r="S66" s="45">
        <f t="shared" si="31"/>
        <v>0</v>
      </c>
      <c r="T66">
        <f t="shared" si="32"/>
        <v>0</v>
      </c>
      <c r="U66" s="44">
        <f t="shared" si="33"/>
        <v>6.3696195713751208E-2</v>
      </c>
      <c r="V66">
        <f t="shared" si="34"/>
        <v>0.98712775793880692</v>
      </c>
      <c r="W66" s="43">
        <f t="shared" si="35"/>
        <v>1.6074703469442994E-2</v>
      </c>
      <c r="X66" s="43">
        <f t="shared" si="36"/>
        <v>3.271345581359375E-2</v>
      </c>
      <c r="Y66" s="43">
        <f t="shared" si="37"/>
        <v>4.8788159283036744E-2</v>
      </c>
      <c r="Z66" s="55">
        <f t="shared" si="38"/>
        <v>5.2449440586883596E-4</v>
      </c>
      <c r="AA66" s="41">
        <f t="shared" si="39"/>
        <v>1</v>
      </c>
      <c r="AB66">
        <f t="shared" si="40"/>
        <v>5.2449440586883596E-4</v>
      </c>
      <c r="AC66">
        <f t="shared" si="41"/>
        <v>0</v>
      </c>
      <c r="AD66">
        <f t="shared" si="42"/>
        <v>0.15217391304347827</v>
      </c>
      <c r="AE66">
        <f t="shared" si="43"/>
        <v>0.15217391304347827</v>
      </c>
      <c r="AF66">
        <f t="shared" si="44"/>
        <v>1.2347065941259065E-2</v>
      </c>
      <c r="AG66" s="45">
        <f t="shared" si="45"/>
        <v>0</v>
      </c>
      <c r="AH66" s="45">
        <v>0</v>
      </c>
    </row>
    <row r="67" spans="1:34" x14ac:dyDescent="0.2">
      <c r="A67">
        <v>36</v>
      </c>
      <c r="B67">
        <f t="shared" si="23"/>
        <v>18</v>
      </c>
      <c r="C67">
        <f t="shared" si="24"/>
        <v>18</v>
      </c>
      <c r="D67" s="43">
        <f>INDEX(Curves!$K$5:$K$34,C67)</f>
        <v>4.2743253568592543E-2</v>
      </c>
      <c r="E67">
        <f t="shared" si="25"/>
        <v>1</v>
      </c>
      <c r="F67" s="54">
        <f>Curves!W41</f>
        <v>0.5394805446665667</v>
      </c>
      <c r="G67" s="54">
        <f>Curves!X41</f>
        <v>1.6356727906797097E-2</v>
      </c>
      <c r="L67" s="44">
        <f>L66</f>
        <v>2.5911614515783214E-2</v>
      </c>
      <c r="M67" s="44">
        <f t="shared" si="26"/>
        <v>0.753571902422146</v>
      </c>
      <c r="N67">
        <f t="shared" si="27"/>
        <v>6.5508047199885622E-2</v>
      </c>
      <c r="O67">
        <f t="shared" si="28"/>
        <v>12.351763807328224</v>
      </c>
      <c r="P67" s="43">
        <f>IF(E67=1,(1-N67-F67*M67)/O67,"")</f>
        <v>4.2743253568592536E-2</v>
      </c>
      <c r="Q67" s="45">
        <f t="shared" si="29"/>
        <v>0.28260869565217395</v>
      </c>
      <c r="R67" s="45">
        <f t="shared" si="30"/>
        <v>2.1739130434782608E-2</v>
      </c>
      <c r="S67" s="45">
        <f t="shared" si="31"/>
        <v>0</v>
      </c>
      <c r="T67">
        <f t="shared" si="32"/>
        <v>0</v>
      </c>
      <c r="U67" s="44">
        <f t="shared" si="33"/>
        <v>5.7445499399277858E-2</v>
      </c>
      <c r="V67">
        <f t="shared" si="34"/>
        <v>0.98712775793880692</v>
      </c>
      <c r="W67" s="43">
        <f t="shared" si="35"/>
        <v>1.6074703469443001E-2</v>
      </c>
      <c r="X67" s="43">
        <f t="shared" si="36"/>
        <v>3.2713455813594194E-2</v>
      </c>
      <c r="Y67" s="43">
        <f t="shared" si="37"/>
        <v>4.8788159283037195E-2</v>
      </c>
      <c r="Z67" s="55">
        <f t="shared" si="38"/>
        <v>4.7302421659006251E-4</v>
      </c>
      <c r="AA67" s="41">
        <f t="shared" si="39"/>
        <v>1</v>
      </c>
      <c r="AB67">
        <f t="shared" si="40"/>
        <v>4.7302421659006251E-4</v>
      </c>
      <c r="AC67">
        <f t="shared" si="41"/>
        <v>0</v>
      </c>
      <c r="AD67">
        <f t="shared" si="42"/>
        <v>0.14130434782608697</v>
      </c>
      <c r="AE67">
        <f t="shared" si="43"/>
        <v>0.14130434782608697</v>
      </c>
      <c r="AF67">
        <f t="shared" si="44"/>
        <v>1.1766681020171213E-2</v>
      </c>
      <c r="AG67" s="45">
        <f t="shared" si="45"/>
        <v>0</v>
      </c>
      <c r="AH67" s="45">
        <f>IF(E67=1,ABS(P67-D67)*10000,0)</f>
        <v>6.9388939039072284E-14</v>
      </c>
    </row>
    <row r="68" spans="1:34" x14ac:dyDescent="0.2">
      <c r="A68">
        <v>37</v>
      </c>
      <c r="B68">
        <f t="shared" si="23"/>
        <v>18.5</v>
      </c>
      <c r="C68">
        <f t="shared" si="24"/>
        <v>19</v>
      </c>
      <c r="D68" s="43">
        <f>INDEX(Curves!$K$5:$K$34,C68)</f>
        <v>4.288521459234218E-2</v>
      </c>
      <c r="E68">
        <f t="shared" si="25"/>
        <v>1</v>
      </c>
      <c r="F68" s="54">
        <f>Curves!W42</f>
        <v>0.53085602389852615</v>
      </c>
      <c r="G68" s="54">
        <f>Curves!X42</f>
        <v>1.6246440427864828E-2</v>
      </c>
      <c r="H68">
        <f>N67+D68*O67</f>
        <v>0.595216088671082</v>
      </c>
      <c r="I68">
        <f>F69*M67*((D68*$B$5+1)-$B$4)</f>
        <v>0.24462646273063465</v>
      </c>
      <c r="J68">
        <f>M67*(F68*((D68*$B$5)-$B$4)+F69*$B$4)</f>
        <v>6.019743386973783E-3</v>
      </c>
      <c r="K68">
        <f>H68+F68*M67*$B$4-1</f>
        <v>-0.2447686377923306</v>
      </c>
      <c r="L68" s="44">
        <f>IF(E68=1,-2*LN((-J68+SQRT(J68^2-4*I68*K68))/(2*I68)),L67)</f>
        <v>2.4019107597299343E-2</v>
      </c>
      <c r="M68" s="44">
        <f t="shared" si="26"/>
        <v>0.74457596682802618</v>
      </c>
      <c r="N68">
        <f t="shared" si="27"/>
        <v>6.741826584018229E-2</v>
      </c>
      <c r="O68">
        <f t="shared" si="28"/>
        <v>12.549395125948587</v>
      </c>
      <c r="P68" s="43"/>
      <c r="Q68" s="45">
        <f t="shared" si="29"/>
        <v>0.26086956521739135</v>
      </c>
      <c r="R68" s="45">
        <f t="shared" si="30"/>
        <v>2.1739130434782608E-2</v>
      </c>
      <c r="S68" s="45">
        <f t="shared" si="31"/>
        <v>0</v>
      </c>
      <c r="T68">
        <f t="shared" si="32"/>
        <v>0</v>
      </c>
      <c r="U68" s="44">
        <f t="shared" si="33"/>
        <v>5.1555996161833949E-2</v>
      </c>
      <c r="V68">
        <f t="shared" si="34"/>
        <v>0.98806227306882743</v>
      </c>
      <c r="W68" s="43">
        <f t="shared" si="35"/>
        <v>1.4890927279889169E-2</v>
      </c>
      <c r="X68" s="43">
        <f t="shared" si="36"/>
        <v>3.2492880855729656E-2</v>
      </c>
      <c r="Y68" s="43">
        <f t="shared" si="37"/>
        <v>4.7383808135618821E-2</v>
      </c>
      <c r="Z68" s="55">
        <f t="shared" si="38"/>
        <v>3.5212548175765754E-4</v>
      </c>
      <c r="AA68" s="41">
        <f t="shared" si="39"/>
        <v>1</v>
      </c>
      <c r="AB68">
        <f t="shared" si="40"/>
        <v>3.5212548175765754E-4</v>
      </c>
      <c r="AC68">
        <f t="shared" si="41"/>
        <v>0</v>
      </c>
      <c r="AD68">
        <f t="shared" si="42"/>
        <v>0.13043478260869568</v>
      </c>
      <c r="AE68">
        <f t="shared" si="43"/>
        <v>0.13043478260869568</v>
      </c>
      <c r="AF68">
        <f t="shared" si="44"/>
        <v>1.1181777881752055E-2</v>
      </c>
      <c r="AG68" s="45">
        <f t="shared" si="45"/>
        <v>0</v>
      </c>
      <c r="AH68" s="45">
        <v>0</v>
      </c>
    </row>
    <row r="69" spans="1:34" x14ac:dyDescent="0.2">
      <c r="A69">
        <v>38</v>
      </c>
      <c r="B69">
        <f t="shared" si="23"/>
        <v>19</v>
      </c>
      <c r="C69">
        <f t="shared" si="24"/>
        <v>19</v>
      </c>
      <c r="D69" s="43">
        <f>INDEX(Curves!$K$5:$K$34,C69)</f>
        <v>4.288521459234218E-2</v>
      </c>
      <c r="E69">
        <f t="shared" si="25"/>
        <v>1</v>
      </c>
      <c r="F69" s="54">
        <f>Curves!W43</f>
        <v>0.52236938087086693</v>
      </c>
      <c r="G69" s="54">
        <f>Curves!X43</f>
        <v>1.6246440427864828E-2</v>
      </c>
      <c r="L69" s="44">
        <f>L68</f>
        <v>2.4019107597299343E-2</v>
      </c>
      <c r="M69" s="44">
        <f t="shared" si="26"/>
        <v>0.7356874222565194</v>
      </c>
      <c r="N69">
        <f t="shared" si="27"/>
        <v>6.9275507250046733E-2</v>
      </c>
      <c r="O69">
        <f t="shared" si="28"/>
        <v>12.741545417587899</v>
      </c>
      <c r="P69" s="43">
        <f>IF(E69=1,(1-N69-F69*M69)/O69,"")</f>
        <v>4.288521459234218E-2</v>
      </c>
      <c r="Q69" s="45">
        <f t="shared" si="29"/>
        <v>0.23913043478260865</v>
      </c>
      <c r="R69" s="45">
        <f t="shared" si="30"/>
        <v>2.1739130434782608E-2</v>
      </c>
      <c r="S69" s="45">
        <f t="shared" si="31"/>
        <v>0</v>
      </c>
      <c r="T69">
        <f t="shared" si="32"/>
        <v>0</v>
      </c>
      <c r="U69" s="44">
        <f t="shared" si="33"/>
        <v>4.5948982783313504E-2</v>
      </c>
      <c r="V69">
        <f t="shared" si="34"/>
        <v>0.98806227306882743</v>
      </c>
      <c r="W69" s="43">
        <f t="shared" si="35"/>
        <v>1.4890927279889169E-2</v>
      </c>
      <c r="X69" s="43">
        <f t="shared" si="36"/>
        <v>3.2492880855729656E-2</v>
      </c>
      <c r="Y69" s="43">
        <f t="shared" si="37"/>
        <v>4.7383808135618821E-2</v>
      </c>
      <c r="Z69" s="55">
        <f t="shared" si="38"/>
        <v>3.1382979485180081E-4</v>
      </c>
      <c r="AA69" s="41">
        <f t="shared" si="39"/>
        <v>1</v>
      </c>
      <c r="AB69">
        <f t="shared" si="40"/>
        <v>3.1382979485180081E-4</v>
      </c>
      <c r="AC69">
        <f t="shared" si="41"/>
        <v>0</v>
      </c>
      <c r="AD69">
        <f t="shared" si="42"/>
        <v>0.11956521739130432</v>
      </c>
      <c r="AE69">
        <f t="shared" si="43"/>
        <v>0.11956521739130432</v>
      </c>
      <c r="AF69">
        <f t="shared" si="44"/>
        <v>1.0661891441273729E-2</v>
      </c>
      <c r="AG69" s="45">
        <f t="shared" si="45"/>
        <v>0</v>
      </c>
      <c r="AH69" s="45">
        <f>IF(E69=1,ABS(P69-D69)*10000,0)</f>
        <v>0</v>
      </c>
    </row>
    <row r="70" spans="1:34" x14ac:dyDescent="0.2">
      <c r="A70">
        <v>39</v>
      </c>
      <c r="B70">
        <f t="shared" si="23"/>
        <v>19.5</v>
      </c>
      <c r="C70">
        <f t="shared" si="24"/>
        <v>20</v>
      </c>
      <c r="D70" s="43">
        <f>INDEX(Curves!$K$5:$K$34,C70)</f>
        <v>4.3027165751841068E-2</v>
      </c>
      <c r="E70">
        <f t="shared" si="25"/>
        <v>1</v>
      </c>
      <c r="F70" s="54">
        <f>Curves!W44</f>
        <v>0.51407526303896667</v>
      </c>
      <c r="G70" s="54">
        <f>Curves!X44</f>
        <v>1.6134053568089168E-2</v>
      </c>
      <c r="H70">
        <f>N69+D70*O69</f>
        <v>0.61750809386721228</v>
      </c>
      <c r="I70">
        <f>F71*M69*((D70*$B$5+1)-$B$4)</f>
        <v>0.23132344736127666</v>
      </c>
      <c r="J70">
        <f>M69*(F70*((D70*$B$5)-$B$4)+F71*$B$4)</f>
        <v>5.7344118722439481E-3</v>
      </c>
      <c r="K70">
        <f>H70+F70*M69*$B$4-1</f>
        <v>-0.23121242408839593</v>
      </c>
      <c r="L70" s="44">
        <f>IF(E70=1,-2*LN((-J70+SQRT(J70^2-4*I70*K70))/(2*I70)),L69)</f>
        <v>2.5274962581145827E-2</v>
      </c>
      <c r="M70" s="44">
        <f t="shared" si="26"/>
        <v>0.72644868635451565</v>
      </c>
      <c r="N70">
        <f t="shared" si="27"/>
        <v>7.1175269485634782E-2</v>
      </c>
      <c r="O70">
        <f t="shared" si="28"/>
        <v>12.928270067348903</v>
      </c>
      <c r="P70" s="43"/>
      <c r="Q70" s="45">
        <f t="shared" si="29"/>
        <v>0.21739130434782605</v>
      </c>
      <c r="R70" s="45">
        <f t="shared" si="30"/>
        <v>2.1739130434782608E-2</v>
      </c>
      <c r="S70" s="45">
        <f t="shared" si="31"/>
        <v>0</v>
      </c>
      <c r="T70">
        <f t="shared" si="32"/>
        <v>0</v>
      </c>
      <c r="U70" s="44">
        <f t="shared" si="33"/>
        <v>4.0592315165435801E-2</v>
      </c>
      <c r="V70">
        <f t="shared" si="34"/>
        <v>0.98744203635605665</v>
      </c>
      <c r="W70" s="43">
        <f t="shared" si="35"/>
        <v>1.5671581236417043E-2</v>
      </c>
      <c r="X70" s="43">
        <f t="shared" si="36"/>
        <v>3.2268107136178337E-2</v>
      </c>
      <c r="Y70" s="43">
        <f t="shared" si="37"/>
        <v>4.7939688372595379E-2</v>
      </c>
      <c r="Z70" s="55">
        <f t="shared" si="38"/>
        <v>2.9980842568894578E-4</v>
      </c>
      <c r="AA70" s="41">
        <f t="shared" si="39"/>
        <v>1</v>
      </c>
      <c r="AB70">
        <f t="shared" si="40"/>
        <v>2.9980842568894578E-4</v>
      </c>
      <c r="AC70">
        <f t="shared" si="41"/>
        <v>0</v>
      </c>
      <c r="AD70">
        <f t="shared" si="42"/>
        <v>0.10869565217391303</v>
      </c>
      <c r="AE70">
        <f t="shared" si="43"/>
        <v>0.10869565217391303</v>
      </c>
      <c r="AF70">
        <f t="shared" si="44"/>
        <v>1.0177629337096612E-2</v>
      </c>
      <c r="AG70" s="45">
        <f t="shared" si="45"/>
        <v>0</v>
      </c>
      <c r="AH70" s="45">
        <v>0</v>
      </c>
    </row>
    <row r="71" spans="1:34" x14ac:dyDescent="0.2">
      <c r="A71">
        <v>40</v>
      </c>
      <c r="B71">
        <f t="shared" si="23"/>
        <v>20</v>
      </c>
      <c r="C71">
        <f t="shared" si="24"/>
        <v>20</v>
      </c>
      <c r="D71" s="43">
        <f>INDEX(Curves!$K$5:$K$34,C71)</f>
        <v>4.3027165751841068E-2</v>
      </c>
      <c r="E71">
        <f t="shared" si="25"/>
        <v>1</v>
      </c>
      <c r="F71" s="54">
        <f>Curves!W45</f>
        <v>0.50591283820655797</v>
      </c>
      <c r="G71" s="54">
        <f>Curves!X45</f>
        <v>1.613405356808939E-2</v>
      </c>
      <c r="L71" s="44">
        <f>L70</f>
        <v>2.5274962581145827E-2</v>
      </c>
      <c r="M71" s="44">
        <f t="shared" si="26"/>
        <v>0.71732597016208521</v>
      </c>
      <c r="N71">
        <f t="shared" si="27"/>
        <v>7.3021389182060942E-2</v>
      </c>
      <c r="O71">
        <f t="shared" si="28"/>
        <v>13.10972227609089</v>
      </c>
      <c r="P71" s="43">
        <f>IF(E71=1,(1-N71-F71*M71)/O71,"")</f>
        <v>4.3027165751841068E-2</v>
      </c>
      <c r="Q71" s="45">
        <f t="shared" si="29"/>
        <v>0.19565217391304346</v>
      </c>
      <c r="R71" s="45">
        <f t="shared" si="30"/>
        <v>2.1739130434782608E-2</v>
      </c>
      <c r="S71" s="45">
        <f t="shared" si="31"/>
        <v>0</v>
      </c>
      <c r="T71">
        <f t="shared" si="32"/>
        <v>0</v>
      </c>
      <c r="U71" s="44">
        <f t="shared" si="33"/>
        <v>3.5501519101693031E-2</v>
      </c>
      <c r="V71">
        <f t="shared" si="34"/>
        <v>0.98744203635605665</v>
      </c>
      <c r="W71" s="43">
        <f t="shared" si="35"/>
        <v>1.567158123641705E-2</v>
      </c>
      <c r="X71" s="43">
        <f t="shared" si="36"/>
        <v>3.2268107136178781E-2</v>
      </c>
      <c r="Y71" s="43">
        <f t="shared" si="37"/>
        <v>4.793968837259583E-2</v>
      </c>
      <c r="Z71" s="55">
        <f t="shared" si="38"/>
        <v>2.6220861037530341E-4</v>
      </c>
      <c r="AA71" s="41">
        <f t="shared" si="39"/>
        <v>1</v>
      </c>
      <c r="AB71">
        <f t="shared" si="40"/>
        <v>2.6220861037530341E-4</v>
      </c>
      <c r="AC71">
        <f t="shared" si="41"/>
        <v>0</v>
      </c>
      <c r="AD71">
        <f t="shared" si="42"/>
        <v>9.7826086956521729E-2</v>
      </c>
      <c r="AE71">
        <f t="shared" si="43"/>
        <v>9.7826086956521729E-2</v>
      </c>
      <c r="AF71">
        <f t="shared" si="44"/>
        <v>9.6901469510659831E-3</v>
      </c>
      <c r="AG71" s="45">
        <f t="shared" si="45"/>
        <v>0</v>
      </c>
      <c r="AH71" s="45">
        <f>IF(E71=1,ABS(P71-D71)*10000,0)</f>
        <v>0</v>
      </c>
    </row>
    <row r="72" spans="1:34" x14ac:dyDescent="0.2">
      <c r="A72">
        <v>41</v>
      </c>
      <c r="B72">
        <f t="shared" si="23"/>
        <v>20.5</v>
      </c>
      <c r="C72">
        <f t="shared" si="24"/>
        <v>21</v>
      </c>
      <c r="D72" s="43">
        <f>INDEX(Curves!$K$5:$K$34,C72)</f>
        <v>4.3027165751841068E-2</v>
      </c>
      <c r="E72">
        <f t="shared" si="25"/>
        <v>1</v>
      </c>
      <c r="F72" s="54">
        <f>Curves!W46</f>
        <v>0.49865888314794771</v>
      </c>
      <c r="G72" s="54">
        <f>Curves!X46</f>
        <v>1.4546928378809332E-2</v>
      </c>
      <c r="H72">
        <f>N71+D72*O71</f>
        <v>0.63709558251602683</v>
      </c>
      <c r="I72">
        <f>F73*M71*((D72*$B$5+1)-$B$4)</f>
        <v>0.2191283650495203</v>
      </c>
      <c r="J72">
        <f>M71*(F72*((D72*$B$5)-$B$4)+F73*$B$4)</f>
        <v>5.6438928170203491E-3</v>
      </c>
      <c r="K72">
        <f>H72+F72*M71*$B$4-1</f>
        <v>-0.21982403063035583</v>
      </c>
      <c r="L72" s="44">
        <f>IF(E72=1,-2*LN((-J72+SQRT(J72^2-4*I72*K72))/(2*I72)),L71)</f>
        <v>2.2544942432114506E-2</v>
      </c>
      <c r="M72" s="44">
        <f t="shared" si="26"/>
        <v>0.70928533785152481</v>
      </c>
      <c r="N72">
        <f t="shared" si="27"/>
        <v>7.4625202273175886E-2</v>
      </c>
      <c r="O72">
        <f t="shared" si="28"/>
        <v>13.286567993294017</v>
      </c>
      <c r="P72" s="43"/>
      <c r="Q72" s="45">
        <f t="shared" si="29"/>
        <v>0.17391304347826086</v>
      </c>
      <c r="R72" s="45">
        <f t="shared" si="30"/>
        <v>2.1739130434782608E-2</v>
      </c>
      <c r="S72" s="45">
        <f t="shared" si="31"/>
        <v>0</v>
      </c>
      <c r="T72">
        <f t="shared" si="32"/>
        <v>0</v>
      </c>
      <c r="U72" s="44">
        <f t="shared" si="33"/>
        <v>3.0755776904891834E-2</v>
      </c>
      <c r="V72">
        <f t="shared" si="34"/>
        <v>0.98879082502931892</v>
      </c>
      <c r="W72" s="43">
        <f t="shared" si="35"/>
        <v>1.3933308994222175E-2</v>
      </c>
      <c r="X72" s="43">
        <f t="shared" si="36"/>
        <v>2.9093856757618664E-2</v>
      </c>
      <c r="Y72" s="43">
        <f t="shared" si="37"/>
        <v>4.3027165751840839E-2</v>
      </c>
      <c r="Z72" s="55">
        <f t="shared" si="38"/>
        <v>7.606885863562105E-5</v>
      </c>
      <c r="AA72" s="41">
        <f t="shared" si="39"/>
        <v>1</v>
      </c>
      <c r="AB72">
        <f t="shared" si="40"/>
        <v>7.606885863562105E-5</v>
      </c>
      <c r="AC72">
        <f t="shared" si="41"/>
        <v>0</v>
      </c>
      <c r="AD72">
        <f t="shared" si="42"/>
        <v>8.6956521739130432E-2</v>
      </c>
      <c r="AE72">
        <f t="shared" si="43"/>
        <v>8.6956521739130432E-2</v>
      </c>
      <c r="AF72">
        <f t="shared" si="44"/>
        <v>9.215133294146834E-3</v>
      </c>
      <c r="AG72" s="45">
        <f t="shared" si="45"/>
        <v>0</v>
      </c>
      <c r="AH72" s="45">
        <v>0</v>
      </c>
    </row>
    <row r="73" spans="1:34" x14ac:dyDescent="0.2">
      <c r="A73">
        <v>42</v>
      </c>
      <c r="B73">
        <f t="shared" si="23"/>
        <v>21</v>
      </c>
      <c r="C73">
        <f t="shared" si="24"/>
        <v>21</v>
      </c>
      <c r="D73" s="43">
        <f>INDEX(Curves!$K$5:$K$34,C73)</f>
        <v>4.3027165751841068E-2</v>
      </c>
      <c r="E73">
        <f t="shared" si="25"/>
        <v>1</v>
      </c>
      <c r="F73" s="54">
        <f>Curves!W47</f>
        <v>0.49150893783176441</v>
      </c>
      <c r="G73" s="54">
        <f>Curves!X47</f>
        <v>1.4546928378809332E-2</v>
      </c>
      <c r="L73" s="44">
        <f>L72</f>
        <v>2.2544942432114506E-2</v>
      </c>
      <c r="M73" s="44">
        <f t="shared" si="26"/>
        <v>0.70133483439540834</v>
      </c>
      <c r="N73">
        <f t="shared" si="27"/>
        <v>7.6188299676753321E-2</v>
      </c>
      <c r="O73">
        <f t="shared" si="28"/>
        <v>13.458924163053069</v>
      </c>
      <c r="P73" s="43">
        <f>IF(E73=1,(1-N73-F73*M73)/O73,"")</f>
        <v>4.3027165751841061E-2</v>
      </c>
      <c r="Q73" s="45">
        <f t="shared" si="29"/>
        <v>0.15217391304347827</v>
      </c>
      <c r="R73" s="45">
        <f t="shared" si="30"/>
        <v>2.1739130434782608E-2</v>
      </c>
      <c r="S73" s="45">
        <f t="shared" si="31"/>
        <v>0</v>
      </c>
      <c r="T73">
        <f t="shared" si="32"/>
        <v>0</v>
      </c>
      <c r="U73" s="44">
        <f t="shared" si="33"/>
        <v>2.6228112789420922E-2</v>
      </c>
      <c r="V73">
        <f t="shared" si="34"/>
        <v>0.98879082502931881</v>
      </c>
      <c r="W73" s="43">
        <f t="shared" si="35"/>
        <v>1.3933308994222316E-2</v>
      </c>
      <c r="X73" s="43">
        <f t="shared" si="36"/>
        <v>2.9093856757618664E-2</v>
      </c>
      <c r="Y73" s="43">
        <f t="shared" si="37"/>
        <v>4.3027165751840978E-2</v>
      </c>
      <c r="Z73" s="55">
        <f t="shared" si="38"/>
        <v>6.48704992960318E-5</v>
      </c>
      <c r="AA73" s="41">
        <f t="shared" si="39"/>
        <v>1</v>
      </c>
      <c r="AB73">
        <f t="shared" si="40"/>
        <v>6.48704992960318E-5</v>
      </c>
      <c r="AC73">
        <f t="shared" si="41"/>
        <v>0</v>
      </c>
      <c r="AD73">
        <f t="shared" si="42"/>
        <v>7.6086956521739135E-2</v>
      </c>
      <c r="AE73">
        <f t="shared" si="43"/>
        <v>7.6086956521739135E-2</v>
      </c>
      <c r="AF73">
        <f t="shared" si="44"/>
        <v>8.7952600166859626E-3</v>
      </c>
      <c r="AG73" s="45">
        <f t="shared" si="45"/>
        <v>0</v>
      </c>
      <c r="AH73" s="45">
        <f>IF(E73=1,ABS(P73-D73)*10000,0)</f>
        <v>6.9388939039072284E-14</v>
      </c>
    </row>
    <row r="74" spans="1:34" x14ac:dyDescent="0.2">
      <c r="A74">
        <v>43</v>
      </c>
      <c r="B74">
        <f t="shared" si="23"/>
        <v>21.5</v>
      </c>
      <c r="C74">
        <f t="shared" si="24"/>
        <v>22</v>
      </c>
      <c r="D74" s="43">
        <f>INDEX(Curves!$K$5:$K$34,C74)</f>
        <v>4.3027165751841068E-2</v>
      </c>
      <c r="E74">
        <f t="shared" si="25"/>
        <v>1</v>
      </c>
      <c r="F74" s="54">
        <f>Curves!W48</f>
        <v>0.48458282639382999</v>
      </c>
      <c r="G74" s="54">
        <f>Curves!X48</f>
        <v>1.4292936234404197E-2</v>
      </c>
      <c r="H74">
        <f>N73+D74*O73</f>
        <v>0.65528766048189657</v>
      </c>
      <c r="I74">
        <f>F75*M73*((D74*$B$5+1)-$B$4)</f>
        <v>0.20824791043136789</v>
      </c>
      <c r="J74">
        <f>M73*(F74*((D74*$B$5)-$B$4)+F75*$B$4)</f>
        <v>5.3958654366288491E-3</v>
      </c>
      <c r="K74">
        <f>H74+F74*M73*$B$4-1</f>
        <v>-0.2087704129981931</v>
      </c>
      <c r="L74" s="44">
        <f>IF(E74=1,-2*LN((-J74+SQRT(J74^2-4*I74*K74))/(2*I74)),L73)</f>
        <v>2.3371712966946505E-2</v>
      </c>
      <c r="M74" s="44">
        <f t="shared" si="26"/>
        <v>0.69318683706102557</v>
      </c>
      <c r="N74">
        <f t="shared" si="27"/>
        <v>7.7767651507851157E-2</v>
      </c>
      <c r="O74">
        <f t="shared" si="28"/>
        <v>13.626877381414085</v>
      </c>
      <c r="P74" s="43"/>
      <c r="Q74" s="45">
        <f t="shared" si="29"/>
        <v>0.13043478260869568</v>
      </c>
      <c r="R74" s="45">
        <f t="shared" si="30"/>
        <v>2.1739130434782608E-2</v>
      </c>
      <c r="S74" s="45">
        <f t="shared" si="31"/>
        <v>0</v>
      </c>
      <c r="T74">
        <f t="shared" si="32"/>
        <v>0</v>
      </c>
      <c r="U74" s="44">
        <f t="shared" si="33"/>
        <v>2.1906941525349857E-2</v>
      </c>
      <c r="V74">
        <f t="shared" si="34"/>
        <v>0.98838215794399142</v>
      </c>
      <c r="W74" s="43">
        <f t="shared" si="35"/>
        <v>1.4441293283032884E-2</v>
      </c>
      <c r="X74" s="43">
        <f t="shared" si="36"/>
        <v>2.8585872468808393E-2</v>
      </c>
      <c r="Y74" s="43">
        <f t="shared" si="37"/>
        <v>4.3027165751841276E-2</v>
      </c>
      <c r="Z74" s="55">
        <f t="shared" si="38"/>
        <v>5.4182862724755165E-5</v>
      </c>
      <c r="AA74" s="41">
        <f t="shared" si="39"/>
        <v>1</v>
      </c>
      <c r="AB74">
        <f t="shared" si="40"/>
        <v>5.4182862724755165E-5</v>
      </c>
      <c r="AC74">
        <f t="shared" si="41"/>
        <v>0</v>
      </c>
      <c r="AD74">
        <f t="shared" si="42"/>
        <v>6.5217391304347838E-2</v>
      </c>
      <c r="AE74">
        <f t="shared" si="43"/>
        <v>6.5217391304347838E-2</v>
      </c>
      <c r="AF74">
        <f t="shared" si="44"/>
        <v>8.3967269959375427E-3</v>
      </c>
      <c r="AG74" s="45">
        <f t="shared" si="45"/>
        <v>0</v>
      </c>
      <c r="AH74" s="45">
        <v>0</v>
      </c>
    </row>
    <row r="75" spans="1:34" x14ac:dyDescent="0.2">
      <c r="A75">
        <v>44</v>
      </c>
      <c r="B75">
        <f t="shared" si="23"/>
        <v>22</v>
      </c>
      <c r="C75">
        <f t="shared" si="24"/>
        <v>22</v>
      </c>
      <c r="D75" s="43">
        <f>INDEX(Curves!$K$5:$K$34,C75)</f>
        <v>4.3027165751841068E-2</v>
      </c>
      <c r="E75">
        <f t="shared" si="25"/>
        <v>1</v>
      </c>
      <c r="F75" s="54">
        <f>Curves!W49</f>
        <v>0.47775431444180178</v>
      </c>
      <c r="G75" s="54">
        <f>Curves!X49</f>
        <v>1.4292936234404197E-2</v>
      </c>
      <c r="L75" s="44">
        <f>L74</f>
        <v>2.3371712966946505E-2</v>
      </c>
      <c r="M75" s="44">
        <f t="shared" si="26"/>
        <v>0.68513350187274646</v>
      </c>
      <c r="N75">
        <f t="shared" si="27"/>
        <v>7.9306657760589691E-2</v>
      </c>
      <c r="O75">
        <f t="shared" si="28"/>
        <v>13.790540124658246</v>
      </c>
      <c r="P75" s="43">
        <f>IF(E75=1,(1-N75-F75*M75)/O75,"")</f>
        <v>4.3027165751841082E-2</v>
      </c>
      <c r="Q75" s="45">
        <f t="shared" si="29"/>
        <v>0.10869565217391308</v>
      </c>
      <c r="R75" s="45">
        <f t="shared" si="30"/>
        <v>2.1739130434782608E-2</v>
      </c>
      <c r="S75" s="45">
        <f t="shared" si="31"/>
        <v>0</v>
      </c>
      <c r="T75">
        <f t="shared" si="32"/>
        <v>0</v>
      </c>
      <c r="U75" s="44">
        <f t="shared" si="33"/>
        <v>1.7789428613495924E-2</v>
      </c>
      <c r="V75">
        <f t="shared" si="34"/>
        <v>0.98838215794399142</v>
      </c>
      <c r="W75" s="43">
        <f t="shared" si="35"/>
        <v>1.4441293283032884E-2</v>
      </c>
      <c r="X75" s="43">
        <f t="shared" si="36"/>
        <v>2.8585872468808393E-2</v>
      </c>
      <c r="Y75" s="43">
        <f t="shared" si="37"/>
        <v>4.3027165751841276E-2</v>
      </c>
      <c r="Z75" s="55">
        <f t="shared" si="38"/>
        <v>4.3998938300059572E-5</v>
      </c>
      <c r="AA75" s="41">
        <f t="shared" si="39"/>
        <v>1</v>
      </c>
      <c r="AB75">
        <f t="shared" si="40"/>
        <v>4.3998938300059572E-5</v>
      </c>
      <c r="AC75">
        <f t="shared" si="41"/>
        <v>0</v>
      </c>
      <c r="AD75">
        <f t="shared" si="42"/>
        <v>5.4347826086956541E-2</v>
      </c>
      <c r="AE75">
        <f t="shared" si="43"/>
        <v>5.4347826086956541E-2</v>
      </c>
      <c r="AF75">
        <f t="shared" si="44"/>
        <v>8.0044844890228908E-3</v>
      </c>
      <c r="AG75" s="45">
        <f t="shared" si="45"/>
        <v>0</v>
      </c>
      <c r="AH75" s="45">
        <f>IF(E75=1,ABS(P75-D75)*10000,0)</f>
        <v>1.3877787807814457E-13</v>
      </c>
    </row>
    <row r="76" spans="1:34" x14ac:dyDescent="0.2">
      <c r="A76">
        <v>45</v>
      </c>
      <c r="B76">
        <f t="shared" si="23"/>
        <v>22.5</v>
      </c>
      <c r="C76">
        <f t="shared" si="24"/>
        <v>23</v>
      </c>
      <c r="D76" s="43">
        <f>INDEX(Curves!$K$5:$K$34,C76)</f>
        <v>4.3027165751841068E-2</v>
      </c>
      <c r="E76">
        <f t="shared" si="25"/>
        <v>1</v>
      </c>
      <c r="F76" s="54">
        <f>Curves!W50</f>
        <v>0.47114156219748776</v>
      </c>
      <c r="G76" s="54">
        <f>Curves!X50</f>
        <v>1.4035595190267092E-2</v>
      </c>
      <c r="H76">
        <f>N75+D76*O75</f>
        <v>0.67267451351167495</v>
      </c>
      <c r="I76">
        <f>F77*M75*((D76*$B$5+1)-$B$4)</f>
        <v>0.19784452945855505</v>
      </c>
      <c r="J76">
        <f>M75*(F76*((D76*$B$5)-$B$4)+F77*$B$4)</f>
        <v>5.1573108132568117E-3</v>
      </c>
      <c r="K76">
        <f>H76+F76*M75*$B$4-1</f>
        <v>-0.19820753913386058</v>
      </c>
      <c r="L76" s="44">
        <f>IF(E76=1,-2*LN((-J76+SQRT(J76^2-4*I76*K76))/(2*I76)),L75)</f>
        <v>2.4209733223964285E-2</v>
      </c>
      <c r="M76" s="44">
        <f t="shared" si="26"/>
        <v>0.67689004584669277</v>
      </c>
      <c r="N76">
        <f t="shared" si="27"/>
        <v>8.0860191660598185E-2</v>
      </c>
      <c r="O76">
        <f t="shared" si="28"/>
        <v>13.949995641476317</v>
      </c>
      <c r="P76" s="43"/>
      <c r="Q76" s="45">
        <f t="shared" si="29"/>
        <v>8.6956521739130488E-2</v>
      </c>
      <c r="R76" s="45">
        <f t="shared" si="30"/>
        <v>2.1739130434782608E-2</v>
      </c>
      <c r="S76" s="45">
        <f t="shared" si="31"/>
        <v>0</v>
      </c>
      <c r="T76">
        <f t="shared" si="32"/>
        <v>0</v>
      </c>
      <c r="U76" s="44">
        <f t="shared" si="33"/>
        <v>1.3865697114614788E-2</v>
      </c>
      <c r="V76">
        <f t="shared" si="34"/>
        <v>0.98796810256173284</v>
      </c>
      <c r="W76" s="43">
        <f t="shared" si="35"/>
        <v>1.4955975371306053E-2</v>
      </c>
      <c r="X76" s="43">
        <f t="shared" si="36"/>
        <v>2.8071190380534183E-2</v>
      </c>
      <c r="Y76" s="43">
        <f t="shared" si="37"/>
        <v>4.3027165751840235E-2</v>
      </c>
      <c r="Z76" s="55">
        <f t="shared" si="38"/>
        <v>3.4294297196828461E-5</v>
      </c>
      <c r="AA76" s="41">
        <f t="shared" si="39"/>
        <v>1</v>
      </c>
      <c r="AB76">
        <f t="shared" si="40"/>
        <v>3.4294297196828461E-5</v>
      </c>
      <c r="AC76">
        <f t="shared" si="41"/>
        <v>0</v>
      </c>
      <c r="AD76">
        <f t="shared" si="42"/>
        <v>4.3478260869565244E-2</v>
      </c>
      <c r="AE76">
        <f t="shared" si="43"/>
        <v>4.3478260869565244E-2</v>
      </c>
      <c r="AF76">
        <f t="shared" si="44"/>
        <v>7.6302458124744696E-3</v>
      </c>
      <c r="AG76" s="45">
        <f t="shared" si="45"/>
        <v>0</v>
      </c>
      <c r="AH76" s="45">
        <v>0</v>
      </c>
    </row>
    <row r="77" spans="1:34" x14ac:dyDescent="0.2">
      <c r="A77">
        <v>46</v>
      </c>
      <c r="B77">
        <f t="shared" si="23"/>
        <v>23</v>
      </c>
      <c r="C77">
        <f t="shared" si="24"/>
        <v>23</v>
      </c>
      <c r="D77" s="43">
        <f>INDEX(Curves!$K$5:$K$34,C77)</f>
        <v>4.3027165751841068E-2</v>
      </c>
      <c r="E77">
        <f t="shared" si="25"/>
        <v>1</v>
      </c>
      <c r="F77" s="54">
        <f>Curves!W51</f>
        <v>0.46462033919932144</v>
      </c>
      <c r="G77" s="54">
        <f>Curves!X51</f>
        <v>1.4035595190267314E-2</v>
      </c>
      <c r="L77" s="44">
        <f>L76</f>
        <v>2.4209733223964285E-2</v>
      </c>
      <c r="M77" s="44">
        <f t="shared" si="26"/>
        <v>0.66874577423808146</v>
      </c>
      <c r="N77">
        <f t="shared" si="27"/>
        <v>8.2373789355527943E-2</v>
      </c>
      <c r="O77">
        <f t="shared" si="28"/>
        <v>14.105352085708622</v>
      </c>
      <c r="P77" s="43">
        <f>IF(E77=1,(1-N77-F77*M77)/O77,"")</f>
        <v>4.3027165751841047E-2</v>
      </c>
      <c r="Q77" s="45">
        <f t="shared" si="29"/>
        <v>6.5217391304347783E-2</v>
      </c>
      <c r="R77" s="45">
        <f t="shared" si="30"/>
        <v>2.1739130434782608E-2</v>
      </c>
      <c r="S77" s="45">
        <f t="shared" si="31"/>
        <v>0</v>
      </c>
      <c r="T77">
        <f t="shared" si="32"/>
        <v>0</v>
      </c>
      <c r="U77" s="44">
        <f t="shared" si="33"/>
        <v>1.0131942015150329E-2</v>
      </c>
      <c r="V77">
        <f t="shared" si="34"/>
        <v>0.98796810256173295</v>
      </c>
      <c r="W77" s="43">
        <f t="shared" si="35"/>
        <v>1.4955975371305918E-2</v>
      </c>
      <c r="X77" s="43">
        <f t="shared" si="36"/>
        <v>2.8071190380534627E-2</v>
      </c>
      <c r="Y77" s="43">
        <f t="shared" si="37"/>
        <v>4.3027165751840547E-2</v>
      </c>
      <c r="Z77" s="55">
        <f t="shared" si="38"/>
        <v>2.5059528401381466E-5</v>
      </c>
      <c r="AA77" s="41">
        <f t="shared" si="39"/>
        <v>1</v>
      </c>
      <c r="AB77">
        <f t="shared" si="40"/>
        <v>2.5059528401381466E-5</v>
      </c>
      <c r="AC77">
        <f t="shared" si="41"/>
        <v>0</v>
      </c>
      <c r="AD77">
        <f t="shared" si="42"/>
        <v>3.2608695652173891E-2</v>
      </c>
      <c r="AE77">
        <f t="shared" si="43"/>
        <v>3.2608695652173891E-2</v>
      </c>
      <c r="AF77">
        <f t="shared" si="44"/>
        <v>7.2642301233203435E-3</v>
      </c>
      <c r="AG77" s="45">
        <f t="shared" si="45"/>
        <v>0</v>
      </c>
      <c r="AH77" s="45">
        <f>IF(E77=1,ABS(P77-D77)*10000,0)</f>
        <v>2.0816681711721685E-13</v>
      </c>
    </row>
    <row r="78" spans="1:34" x14ac:dyDescent="0.2">
      <c r="A78">
        <v>47</v>
      </c>
      <c r="B78">
        <f t="shared" si="23"/>
        <v>23.5</v>
      </c>
      <c r="C78">
        <f t="shared" si="24"/>
        <v>24</v>
      </c>
      <c r="D78" s="43">
        <f>INDEX(Curves!$K$5:$K$34,C78)</f>
        <v>4.3027165751841068E-2</v>
      </c>
      <c r="E78">
        <f t="shared" si="25"/>
        <v>1</v>
      </c>
      <c r="F78" s="54">
        <f>Curves!W52</f>
        <v>0.45830715651286086</v>
      </c>
      <c r="G78" s="54">
        <f>Curves!X52</f>
        <v>1.3775003503100347E-2</v>
      </c>
      <c r="H78">
        <f>N77+D78*O77</f>
        <v>0.68928711153539002</v>
      </c>
      <c r="I78">
        <f>F79*M77*((D78*$B$5+1)-$B$4)</f>
        <v>0.18789998061603577</v>
      </c>
      <c r="J78">
        <f>M77*(F78*((D78*$B$5)-$B$4)+F79*$B$4)</f>
        <v>4.9278999402349744E-3</v>
      </c>
      <c r="K78">
        <f>H78+F78*M77*$B$4-1</f>
        <v>-0.1881164987761913</v>
      </c>
      <c r="L78" s="44">
        <f>IF(E78=1,-2*LN((-J78+SQRT(J78^2-4*I78*K78))/(2*I78)),L77)</f>
        <v>2.5058697034369078E-2</v>
      </c>
      <c r="M78" s="44">
        <f t="shared" si="26"/>
        <v>0.66041909820594558</v>
      </c>
      <c r="N78">
        <f t="shared" si="27"/>
        <v>8.3900259441724745E-2</v>
      </c>
      <c r="O78">
        <f t="shared" si="28"/>
        <v>14.2566894852114</v>
      </c>
      <c r="P78" s="43"/>
      <c r="Q78" s="45">
        <f t="shared" si="29"/>
        <v>4.3478260869565188E-2</v>
      </c>
      <c r="R78" s="45">
        <f t="shared" si="30"/>
        <v>2.1739130434782608E-2</v>
      </c>
      <c r="S78" s="45">
        <f t="shared" si="31"/>
        <v>0</v>
      </c>
      <c r="T78">
        <f t="shared" si="32"/>
        <v>0</v>
      </c>
      <c r="U78" s="44">
        <f t="shared" si="33"/>
        <v>6.5798869349033588E-3</v>
      </c>
      <c r="V78">
        <f t="shared" si="34"/>
        <v>0.98754881697514629</v>
      </c>
      <c r="W78" s="43">
        <f t="shared" si="35"/>
        <v>1.547715874564135E-2</v>
      </c>
      <c r="X78" s="43">
        <f t="shared" si="36"/>
        <v>2.7550007006200694E-2</v>
      </c>
      <c r="Y78" s="43">
        <f t="shared" si="37"/>
        <v>4.3027165751842046E-2</v>
      </c>
      <c r="Z78" s="55">
        <f t="shared" si="38"/>
        <v>1.6274161782275362E-5</v>
      </c>
      <c r="AA78" s="41">
        <f t="shared" si="39"/>
        <v>1</v>
      </c>
      <c r="AB78">
        <f t="shared" si="40"/>
        <v>1.6274161782275362E-5</v>
      </c>
      <c r="AC78">
        <f t="shared" si="41"/>
        <v>0</v>
      </c>
      <c r="AD78">
        <f t="shared" si="42"/>
        <v>2.1739130434782594E-2</v>
      </c>
      <c r="AE78">
        <f t="shared" si="43"/>
        <v>2.1739130434782594E-2</v>
      </c>
      <c r="AF78">
        <f t="shared" si="44"/>
        <v>6.9130949235148061E-3</v>
      </c>
      <c r="AG78" s="45">
        <f t="shared" si="45"/>
        <v>0</v>
      </c>
      <c r="AH78" s="45">
        <v>0</v>
      </c>
    </row>
    <row r="79" spans="1:34" x14ac:dyDescent="0.2">
      <c r="A79">
        <v>48</v>
      </c>
      <c r="B79">
        <f t="shared" si="23"/>
        <v>24</v>
      </c>
      <c r="C79">
        <f t="shared" si="24"/>
        <v>24</v>
      </c>
      <c r="D79" s="43">
        <f>INDEX(Curves!$K$5:$K$34,C79)</f>
        <v>4.3027165751841068E-2</v>
      </c>
      <c r="E79">
        <f t="shared" si="25"/>
        <v>1</v>
      </c>
      <c r="F79" s="54">
        <f>Curves!W53</f>
        <v>0.4520797562863359</v>
      </c>
      <c r="G79" s="54">
        <f>Curves!X53</f>
        <v>1.3775003503100125E-2</v>
      </c>
      <c r="L79" s="44">
        <f>L78</f>
        <v>2.5058697034369078E-2</v>
      </c>
      <c r="M79" s="44">
        <f t="shared" si="26"/>
        <v>0.65219609914107446</v>
      </c>
      <c r="N79">
        <f t="shared" si="27"/>
        <v>8.5387240007000625E-2</v>
      </c>
      <c r="O79">
        <f t="shared" si="28"/>
        <v>14.404111811986697</v>
      </c>
      <c r="P79" s="43">
        <f>IF(E79=1,(1-N79-F79*M79)/O79,"")</f>
        <v>4.3027165751841068E-2</v>
      </c>
      <c r="Q79" s="45">
        <f t="shared" si="29"/>
        <v>2.1739130434782594E-2</v>
      </c>
      <c r="R79" s="45">
        <f t="shared" si="30"/>
        <v>2.1739130434782608E-2</v>
      </c>
      <c r="S79" s="45">
        <f t="shared" si="31"/>
        <v>0</v>
      </c>
      <c r="T79">
        <f t="shared" si="32"/>
        <v>0</v>
      </c>
      <c r="U79" s="44">
        <f t="shared" si="33"/>
        <v>3.2048331907673449E-3</v>
      </c>
      <c r="V79">
        <f t="shared" si="34"/>
        <v>0.98754881697514618</v>
      </c>
      <c r="W79" s="43">
        <f t="shared" si="35"/>
        <v>1.5477158745641486E-2</v>
      </c>
      <c r="X79" s="43">
        <f t="shared" si="36"/>
        <v>2.755000700620025E-2</v>
      </c>
      <c r="Y79" s="43">
        <f t="shared" si="37"/>
        <v>4.3027165751841734E-2</v>
      </c>
      <c r="Z79" s="55">
        <f t="shared" si="38"/>
        <v>7.9265759955665523E-6</v>
      </c>
      <c r="AA79" s="41">
        <f t="shared" si="39"/>
        <v>1</v>
      </c>
      <c r="AB79">
        <f t="shared" si="40"/>
        <v>7.9265759955665523E-6</v>
      </c>
      <c r="AC79">
        <f t="shared" si="41"/>
        <v>0</v>
      </c>
      <c r="AD79">
        <f t="shared" si="42"/>
        <v>1.0869565217391297E-2</v>
      </c>
      <c r="AE79">
        <f t="shared" si="43"/>
        <v>1.0869565217391297E-2</v>
      </c>
      <c r="AF79">
        <f t="shared" si="44"/>
        <v>6.5719603589077958E-3</v>
      </c>
      <c r="AG79" s="45">
        <f t="shared" si="45"/>
        <v>0</v>
      </c>
      <c r="AH79" s="45">
        <f>IF(E79=1,ABS(P79-D79)*10000,0)</f>
        <v>0</v>
      </c>
    </row>
    <row r="80" spans="1:34" x14ac:dyDescent="0.2">
      <c r="A80">
        <v>49</v>
      </c>
      <c r="B80">
        <f t="shared" si="23"/>
        <v>24.5</v>
      </c>
      <c r="C80">
        <f t="shared" si="24"/>
        <v>25</v>
      </c>
      <c r="D80" s="43">
        <f>INDEX(Curves!$K$5:$K$34,C80)</f>
        <v>4.3027165751841068E-2</v>
      </c>
      <c r="E80">
        <f t="shared" si="25"/>
        <v>1</v>
      </c>
      <c r="F80" s="54">
        <f>Curves!W54</f>
        <v>0.44605301358255656</v>
      </c>
      <c r="G80" s="54">
        <f>Curves!X54</f>
        <v>1.351127000661756E-2</v>
      </c>
      <c r="H80">
        <f>N79+D80*O79</f>
        <v>0.70515534644940403</v>
      </c>
      <c r="I80">
        <f>F81*M79*((D80*$B$5+1)-$B$4)</f>
        <v>0.17839665906412808</v>
      </c>
      <c r="J80">
        <f>M79*(F80*((D80*$B$5)-$B$4)+F81*$B$4)</f>
        <v>4.7073158415682319E-3</v>
      </c>
      <c r="K80">
        <f>H80+F80*M79*$B$4-1</f>
        <v>-0.17847903936313037</v>
      </c>
      <c r="L80" s="44">
        <f>IF(E80=1,-2*LN((-J80+SQRT(J80^2-4*I80*K80))/(2*I80)),L79)</f>
        <v>2.5918263400372777E-2</v>
      </c>
      <c r="M80" s="44">
        <f t="shared" si="26"/>
        <v>0.64379873280627042</v>
      </c>
      <c r="N80">
        <f t="shared" si="27"/>
        <v>8.6885508230919048E-2</v>
      </c>
      <c r="O80">
        <f t="shared" si="28"/>
        <v>14.547695994441131</v>
      </c>
      <c r="P80" s="43"/>
      <c r="Q80" s="45">
        <f t="shared" si="29"/>
        <v>0</v>
      </c>
      <c r="R80" s="45">
        <f t="shared" si="30"/>
        <v>0</v>
      </c>
      <c r="S80" s="45">
        <f t="shared" si="31"/>
        <v>0</v>
      </c>
      <c r="T80">
        <f t="shared" si="32"/>
        <v>0</v>
      </c>
      <c r="U80" s="44">
        <f t="shared" si="33"/>
        <v>0</v>
      </c>
      <c r="V80">
        <f t="shared" si="34"/>
        <v>0.98712447629499289</v>
      </c>
      <c r="W80" s="43">
        <f t="shared" si="35"/>
        <v>1.6004625738605626E-2</v>
      </c>
      <c r="X80" s="43">
        <f t="shared" si="36"/>
        <v>2.7022540013235119E-2</v>
      </c>
      <c r="Y80" s="43">
        <f t="shared" si="37"/>
        <v>4.3027165751840749E-2</v>
      </c>
      <c r="Z80" s="55">
        <f t="shared" si="38"/>
        <v>0</v>
      </c>
      <c r="AA80" s="41">
        <f t="shared" si="39"/>
        <v>1</v>
      </c>
      <c r="AB80">
        <f t="shared" si="40"/>
        <v>0</v>
      </c>
      <c r="AC80">
        <f t="shared" si="41"/>
        <v>0</v>
      </c>
      <c r="AD80">
        <f t="shared" si="42"/>
        <v>0</v>
      </c>
      <c r="AE80">
        <f t="shared" si="43"/>
        <v>0</v>
      </c>
      <c r="AF80">
        <f t="shared" si="44"/>
        <v>0</v>
      </c>
      <c r="AG80" s="45">
        <f t="shared" si="45"/>
        <v>0</v>
      </c>
      <c r="AH80" s="45">
        <v>0</v>
      </c>
    </row>
    <row r="81" spans="1:34" x14ac:dyDescent="0.2">
      <c r="A81">
        <v>50</v>
      </c>
      <c r="B81">
        <f t="shared" si="23"/>
        <v>25</v>
      </c>
      <c r="C81">
        <f t="shared" si="24"/>
        <v>25</v>
      </c>
      <c r="D81" s="43">
        <f>INDEX(Curves!$K$5:$K$34,C81)</f>
        <v>4.3027165751841068E-2</v>
      </c>
      <c r="E81">
        <f t="shared" si="25"/>
        <v>1</v>
      </c>
      <c r="F81" s="54">
        <f>Curves!W55</f>
        <v>0.44010661428525022</v>
      </c>
      <c r="G81" s="54">
        <f>Curves!X55</f>
        <v>1.351127000661756E-2</v>
      </c>
      <c r="L81" s="44">
        <f>L80</f>
        <v>2.5918263400372777E-2</v>
      </c>
      <c r="M81" s="44">
        <f t="shared" si="26"/>
        <v>0.6355094869607697</v>
      </c>
      <c r="N81">
        <f t="shared" si="27"/>
        <v>8.8344769000535603E-2</v>
      </c>
      <c r="O81">
        <f t="shared" si="28"/>
        <v>14.687541958767362</v>
      </c>
      <c r="P81" s="43">
        <f>IF(E81=1,(1-N81-F81*M81)/O81,"")</f>
        <v>4.3027165751841068E-2</v>
      </c>
      <c r="Q81" s="45">
        <f t="shared" si="29"/>
        <v>0</v>
      </c>
      <c r="R81" s="45">
        <f t="shared" si="30"/>
        <v>0</v>
      </c>
      <c r="S81" s="45">
        <f t="shared" si="31"/>
        <v>0</v>
      </c>
      <c r="T81">
        <f t="shared" si="32"/>
        <v>0</v>
      </c>
      <c r="U81" s="44">
        <f t="shared" si="33"/>
        <v>0</v>
      </c>
      <c r="V81">
        <f t="shared" si="34"/>
        <v>0.98712447629499278</v>
      </c>
      <c r="W81" s="43">
        <f t="shared" si="35"/>
        <v>1.6004625738605765E-2</v>
      </c>
      <c r="X81" s="43">
        <f t="shared" si="36"/>
        <v>2.7022540013235119E-2</v>
      </c>
      <c r="Y81" s="43">
        <f t="shared" si="37"/>
        <v>4.3027165751840887E-2</v>
      </c>
      <c r="Z81" s="55">
        <f t="shared" si="38"/>
        <v>0</v>
      </c>
      <c r="AA81" s="41">
        <f t="shared" si="39"/>
        <v>1</v>
      </c>
      <c r="AB81">
        <f t="shared" si="40"/>
        <v>0</v>
      </c>
      <c r="AC81">
        <f t="shared" si="41"/>
        <v>0</v>
      </c>
      <c r="AD81">
        <f t="shared" si="42"/>
        <v>0</v>
      </c>
      <c r="AE81">
        <f t="shared" si="43"/>
        <v>0</v>
      </c>
      <c r="AF81">
        <f t="shared" si="44"/>
        <v>0</v>
      </c>
      <c r="AG81" s="45">
        <f t="shared" si="45"/>
        <v>0</v>
      </c>
      <c r="AH81" s="45">
        <f>IF(E81=1,ABS(P81-D81)*10000,0)</f>
        <v>0</v>
      </c>
    </row>
    <row r="82" spans="1:34" x14ac:dyDescent="0.2">
      <c r="A82">
        <v>51</v>
      </c>
      <c r="B82">
        <f t="shared" si="23"/>
        <v>25.5</v>
      </c>
      <c r="C82">
        <f t="shared" si="24"/>
        <v>26</v>
      </c>
      <c r="D82" s="43">
        <f>INDEX(Curves!$K$5:$K$34,C82)</f>
        <v>4.3115268407536433E-2</v>
      </c>
      <c r="E82">
        <f t="shared" si="25"/>
        <v>1</v>
      </c>
      <c r="F82" s="54">
        <f>Curves!W56</f>
        <v>0.43435380914052302</v>
      </c>
      <c r="G82" s="54">
        <f>Curves!X56</f>
        <v>1.3244514088895709E-2</v>
      </c>
      <c r="H82">
        <f>N81+D82*O81</f>
        <v>0.7216020827997438</v>
      </c>
      <c r="I82">
        <f>F83*M81*((D82*$B$5+1)-$B$4)</f>
        <v>0.16932957430216986</v>
      </c>
      <c r="J82">
        <f>M81*(F82*((D82*$B$5)-$B$4)+F83*$B$4)</f>
        <v>4.5074128955917107E-3</v>
      </c>
      <c r="K82">
        <f>H82+F82*M81*$B$4-1</f>
        <v>-0.16798353063771621</v>
      </c>
      <c r="L82" s="44">
        <f>IF(E82=1,-2*LN((-J82+SQRT(J82^2-4*I82*K82))/(2*I82)),L81)</f>
        <v>3.470582893648707E-2</v>
      </c>
      <c r="M82" s="44">
        <f t="shared" si="26"/>
        <v>0.62457667758534663</v>
      </c>
      <c r="N82">
        <f t="shared" si="27"/>
        <v>9.0244251959264499E-2</v>
      </c>
      <c r="O82">
        <f t="shared" si="28"/>
        <v>14.823185588272125</v>
      </c>
      <c r="P82" s="43"/>
      <c r="Q82" s="45">
        <f t="shared" si="29"/>
        <v>0</v>
      </c>
      <c r="R82" s="45">
        <f t="shared" si="30"/>
        <v>0</v>
      </c>
      <c r="S82" s="45">
        <f t="shared" si="31"/>
        <v>0</v>
      </c>
      <c r="T82">
        <f t="shared" si="32"/>
        <v>0</v>
      </c>
      <c r="U82" s="44">
        <f t="shared" si="33"/>
        <v>0</v>
      </c>
      <c r="V82">
        <f t="shared" si="34"/>
        <v>0.98279678022163353</v>
      </c>
      <c r="W82" s="43">
        <f t="shared" si="35"/>
        <v>2.1468894416544006E-2</v>
      </c>
      <c r="X82" s="43">
        <f t="shared" si="36"/>
        <v>2.6489028177791418E-2</v>
      </c>
      <c r="Y82" s="43">
        <f t="shared" si="37"/>
        <v>4.7957922594335428E-2</v>
      </c>
      <c r="Z82" s="55">
        <f t="shared" si="38"/>
        <v>0</v>
      </c>
      <c r="AA82" s="41">
        <f t="shared" si="39"/>
        <v>1</v>
      </c>
      <c r="AB82">
        <f t="shared" si="40"/>
        <v>0</v>
      </c>
      <c r="AC82">
        <f t="shared" si="41"/>
        <v>0</v>
      </c>
      <c r="AD82">
        <f t="shared" si="42"/>
        <v>0</v>
      </c>
      <c r="AE82">
        <f t="shared" si="43"/>
        <v>0</v>
      </c>
      <c r="AF82">
        <f t="shared" si="44"/>
        <v>0</v>
      </c>
      <c r="AG82" s="45">
        <f t="shared" si="45"/>
        <v>0</v>
      </c>
      <c r="AH82" s="45">
        <v>0</v>
      </c>
    </row>
    <row r="83" spans="1:34" x14ac:dyDescent="0.2">
      <c r="A83">
        <v>52</v>
      </c>
      <c r="B83">
        <f t="shared" si="23"/>
        <v>26</v>
      </c>
      <c r="C83">
        <f t="shared" si="24"/>
        <v>26</v>
      </c>
      <c r="D83" s="43">
        <f>INDEX(Curves!$K$5:$K$34,C83)</f>
        <v>4.3115268407536433E-2</v>
      </c>
      <c r="E83">
        <f t="shared" si="25"/>
        <v>1</v>
      </c>
      <c r="F83" s="54">
        <f>Curves!W57</f>
        <v>0.42867620115475458</v>
      </c>
      <c r="G83" s="54">
        <f>Curves!X57</f>
        <v>1.3244514088895709E-2</v>
      </c>
      <c r="L83" s="44">
        <f>L82</f>
        <v>3.470582893648707E-2</v>
      </c>
      <c r="M83" s="44">
        <f t="shared" si="26"/>
        <v>0.61383194773240402</v>
      </c>
      <c r="N83">
        <f t="shared" si="27"/>
        <v>9.2086655949581903E-2</v>
      </c>
      <c r="O83">
        <f t="shared" si="28"/>
        <v>14.954753162022801</v>
      </c>
      <c r="P83" s="43">
        <f>IF(E83=1,(1-N83-F83*M83)/O83,"")</f>
        <v>4.311526840753644E-2</v>
      </c>
      <c r="Q83" s="45">
        <f t="shared" si="29"/>
        <v>0</v>
      </c>
      <c r="R83" s="45">
        <f t="shared" si="30"/>
        <v>0</v>
      </c>
      <c r="S83" s="45">
        <f t="shared" si="31"/>
        <v>0</v>
      </c>
      <c r="T83">
        <f t="shared" si="32"/>
        <v>0</v>
      </c>
      <c r="U83" s="44">
        <f t="shared" si="33"/>
        <v>0</v>
      </c>
      <c r="V83">
        <f t="shared" si="34"/>
        <v>0.98279678022163364</v>
      </c>
      <c r="W83" s="43">
        <f t="shared" si="35"/>
        <v>2.1468894416543868E-2</v>
      </c>
      <c r="X83" s="43">
        <f t="shared" si="36"/>
        <v>2.6489028177791418E-2</v>
      </c>
      <c r="Y83" s="43">
        <f t="shared" si="37"/>
        <v>4.7957922594335289E-2</v>
      </c>
      <c r="Z83" s="55">
        <f t="shared" si="38"/>
        <v>0</v>
      </c>
      <c r="AA83" s="41">
        <f t="shared" si="39"/>
        <v>1</v>
      </c>
      <c r="AB83">
        <f t="shared" si="40"/>
        <v>0</v>
      </c>
      <c r="AC83">
        <f t="shared" si="41"/>
        <v>0</v>
      </c>
      <c r="AD83">
        <f t="shared" si="42"/>
        <v>0</v>
      </c>
      <c r="AE83">
        <f t="shared" si="43"/>
        <v>0</v>
      </c>
      <c r="AF83">
        <f t="shared" si="44"/>
        <v>0</v>
      </c>
      <c r="AG83" s="45">
        <f t="shared" si="45"/>
        <v>0</v>
      </c>
      <c r="AH83" s="45">
        <f>IF(E83=1,ABS(P83-D83)*10000,0)</f>
        <v>6.9388939039072284E-14</v>
      </c>
    </row>
    <row r="84" spans="1:34" x14ac:dyDescent="0.2">
      <c r="A84">
        <v>53</v>
      </c>
      <c r="B84">
        <f t="shared" si="23"/>
        <v>26.5</v>
      </c>
      <c r="C84">
        <f t="shared" si="24"/>
        <v>27</v>
      </c>
      <c r="D84" s="43">
        <f>INDEX(Curves!$K$5:$K$34,C84)</f>
        <v>4.3203367264257331E-2</v>
      </c>
      <c r="E84">
        <f t="shared" si="25"/>
        <v>1</v>
      </c>
      <c r="F84" s="54">
        <f>Curves!W58</f>
        <v>0.42318542711036794</v>
      </c>
      <c r="G84" s="54">
        <f>Curves!X58</f>
        <v>1.2974865608863739E-2</v>
      </c>
      <c r="H84">
        <f>N83+D84*O83</f>
        <v>0.73818234915476655</v>
      </c>
      <c r="I84">
        <f>F85*M83*((D84*$B$5+1)-$B$4)</f>
        <v>0.1594019773745701</v>
      </c>
      <c r="J84">
        <f>M83*(F84*((D84*$B$5)-$B$4)+F85*$B$4)</f>
        <v>4.2804588203891351E-3</v>
      </c>
      <c r="K84">
        <f>H84+F84*M83*$B$4-1</f>
        <v>-0.15791175685518288</v>
      </c>
      <c r="L84" s="44">
        <f>IF(E84=1,-2*LN((-J84+SQRT(J84^2-4*I84*K84))/(2*I84)),L83)</f>
        <v>3.6371622561352582E-2</v>
      </c>
      <c r="M84" s="44">
        <f t="shared" si="26"/>
        <v>0.60276980764324417</v>
      </c>
      <c r="N84">
        <f t="shared" si="27"/>
        <v>9.3959190540936238E-2</v>
      </c>
      <c r="O84">
        <f t="shared" si="28"/>
        <v>15.082294861271171</v>
      </c>
      <c r="P84" s="43"/>
      <c r="Q84" s="45">
        <f t="shared" si="29"/>
        <v>0</v>
      </c>
      <c r="R84" s="45">
        <f t="shared" si="30"/>
        <v>0</v>
      </c>
      <c r="S84" s="45">
        <f t="shared" si="31"/>
        <v>0</v>
      </c>
      <c r="T84">
        <f t="shared" si="32"/>
        <v>0</v>
      </c>
      <c r="U84" s="44">
        <f t="shared" si="33"/>
        <v>0</v>
      </c>
      <c r="V84">
        <f t="shared" si="34"/>
        <v>0.98197855271296119</v>
      </c>
      <c r="W84" s="43">
        <f t="shared" si="35"/>
        <v>2.2498850302444143E-2</v>
      </c>
      <c r="X84" s="43">
        <f t="shared" si="36"/>
        <v>2.5949731217727479E-2</v>
      </c>
      <c r="Y84" s="43">
        <f t="shared" si="37"/>
        <v>4.8448581520171619E-2</v>
      </c>
      <c r="Z84" s="55">
        <f t="shared" si="38"/>
        <v>0</v>
      </c>
      <c r="AA84" s="41">
        <f t="shared" si="39"/>
        <v>1</v>
      </c>
      <c r="AB84">
        <f t="shared" si="40"/>
        <v>0</v>
      </c>
      <c r="AC84">
        <f t="shared" si="41"/>
        <v>0</v>
      </c>
      <c r="AD84">
        <f t="shared" si="42"/>
        <v>0</v>
      </c>
      <c r="AE84">
        <f t="shared" si="43"/>
        <v>0</v>
      </c>
      <c r="AF84">
        <f t="shared" si="44"/>
        <v>0</v>
      </c>
      <c r="AG84" s="45">
        <f t="shared" si="45"/>
        <v>0</v>
      </c>
      <c r="AH84" s="45">
        <v>0</v>
      </c>
    </row>
    <row r="85" spans="1:34" x14ac:dyDescent="0.2">
      <c r="A85">
        <v>54</v>
      </c>
      <c r="B85">
        <f t="shared" si="23"/>
        <v>27</v>
      </c>
      <c r="C85">
        <f t="shared" si="24"/>
        <v>27</v>
      </c>
      <c r="D85" s="43">
        <f>INDEX(Curves!$K$5:$K$34,C85)</f>
        <v>4.3203367264257331E-2</v>
      </c>
      <c r="E85">
        <f t="shared" si="25"/>
        <v>1</v>
      </c>
      <c r="F85" s="54">
        <f>Curves!W59</f>
        <v>0.41776498260497907</v>
      </c>
      <c r="G85" s="54">
        <f>Curves!X59</f>
        <v>1.2974865608863739E-2</v>
      </c>
      <c r="L85" s="44">
        <f>L84</f>
        <v>3.6371622561352582E-2</v>
      </c>
      <c r="M85" s="44">
        <f t="shared" si="26"/>
        <v>0.59190702332858292</v>
      </c>
      <c r="N85">
        <f t="shared" si="27"/>
        <v>9.5774426901038684E-2</v>
      </c>
      <c r="O85">
        <f t="shared" si="28"/>
        <v>15.205933874923486</v>
      </c>
      <c r="P85" s="43">
        <f>IF(E85=1,(1-N85-F85*M85)/O85,"")</f>
        <v>4.3203367264257331E-2</v>
      </c>
      <c r="Q85" s="45">
        <f t="shared" si="29"/>
        <v>0</v>
      </c>
      <c r="R85" s="45">
        <f t="shared" si="30"/>
        <v>0</v>
      </c>
      <c r="S85" s="45">
        <f t="shared" si="31"/>
        <v>0</v>
      </c>
      <c r="T85">
        <f t="shared" si="32"/>
        <v>0</v>
      </c>
      <c r="U85" s="44">
        <f t="shared" si="33"/>
        <v>0</v>
      </c>
      <c r="V85">
        <f t="shared" si="34"/>
        <v>0.98197855271296119</v>
      </c>
      <c r="W85" s="43">
        <f t="shared" si="35"/>
        <v>2.2498850302444143E-2</v>
      </c>
      <c r="X85" s="43">
        <f t="shared" si="36"/>
        <v>2.5949731217727479E-2</v>
      </c>
      <c r="Y85" s="43">
        <f t="shared" si="37"/>
        <v>4.8448581520171619E-2</v>
      </c>
      <c r="Z85" s="55">
        <f t="shared" si="38"/>
        <v>0</v>
      </c>
      <c r="AA85" s="41">
        <f t="shared" si="39"/>
        <v>1</v>
      </c>
      <c r="AB85">
        <f t="shared" si="40"/>
        <v>0</v>
      </c>
      <c r="AC85">
        <f t="shared" si="41"/>
        <v>0</v>
      </c>
      <c r="AD85">
        <f t="shared" si="42"/>
        <v>0</v>
      </c>
      <c r="AE85">
        <f t="shared" si="43"/>
        <v>0</v>
      </c>
      <c r="AF85">
        <f t="shared" si="44"/>
        <v>0</v>
      </c>
      <c r="AG85" s="45">
        <f t="shared" si="45"/>
        <v>0</v>
      </c>
      <c r="AH85" s="45">
        <f>IF(E85=1,ABS(P85-D85)*10000,0)</f>
        <v>0</v>
      </c>
    </row>
    <row r="86" spans="1:34" x14ac:dyDescent="0.2">
      <c r="A86">
        <v>55</v>
      </c>
      <c r="B86">
        <f t="shared" si="23"/>
        <v>27.5</v>
      </c>
      <c r="C86">
        <f t="shared" si="24"/>
        <v>28</v>
      </c>
      <c r="D86" s="43">
        <f>INDEX(Curves!$K$5:$K$34,C86)</f>
        <v>4.3291462322494922E-2</v>
      </c>
      <c r="E86">
        <f t="shared" si="25"/>
        <v>1</v>
      </c>
      <c r="F86" s="54">
        <f>Curves!W60</f>
        <v>0.41252489960930977</v>
      </c>
      <c r="G86" s="54">
        <f>Curves!X60</f>
        <v>1.2702464749720699E-2</v>
      </c>
      <c r="H86">
        <f>N85+D86*O85</f>
        <v>0.75406154032563799</v>
      </c>
      <c r="I86">
        <f>F87*M85*((D86*$B$5+1)-$B$4)</f>
        <v>0.149887269857987</v>
      </c>
      <c r="J86">
        <f>M85*(F86*((D86*$B$5)-$B$4)+F87*$B$4)</f>
        <v>4.0602813492226584E-3</v>
      </c>
      <c r="K86">
        <f>H86+F86*M85*$B$4-1</f>
        <v>-0.1482679055236944</v>
      </c>
      <c r="L86" s="44">
        <f>IF(E86=1,-2*LN((-J86+SQRT(J86^2-4*I86*K86))/(2*I86)),L85)</f>
        <v>3.8098255352202313E-2</v>
      </c>
      <c r="M86" s="44">
        <f t="shared" si="26"/>
        <v>0.58073842462652625</v>
      </c>
      <c r="N86">
        <f t="shared" si="27"/>
        <v>9.7617356924375717E-2</v>
      </c>
      <c r="O86">
        <f t="shared" si="28"/>
        <v>15.32571840508265</v>
      </c>
      <c r="P86" s="43"/>
      <c r="Q86" s="45">
        <f t="shared" si="29"/>
        <v>0</v>
      </c>
      <c r="R86" s="45">
        <f t="shared" si="30"/>
        <v>0</v>
      </c>
      <c r="S86" s="45">
        <f t="shared" si="31"/>
        <v>0</v>
      </c>
      <c r="T86">
        <f t="shared" si="32"/>
        <v>0</v>
      </c>
      <c r="U86" s="44">
        <f t="shared" si="33"/>
        <v>0</v>
      </c>
      <c r="V86">
        <f t="shared" si="34"/>
        <v>0.98113116036493342</v>
      </c>
      <c r="W86" s="43">
        <f t="shared" si="35"/>
        <v>2.356664433544723E-2</v>
      </c>
      <c r="X86" s="43">
        <f t="shared" si="36"/>
        <v>2.5404929499441398E-2</v>
      </c>
      <c r="Y86" s="43">
        <f t="shared" si="37"/>
        <v>4.8971573834888628E-2</v>
      </c>
      <c r="Z86" s="55">
        <f t="shared" si="38"/>
        <v>0</v>
      </c>
      <c r="AA86" s="41">
        <f t="shared" si="39"/>
        <v>1</v>
      </c>
      <c r="AB86">
        <f t="shared" si="40"/>
        <v>0</v>
      </c>
      <c r="AC86">
        <f t="shared" si="41"/>
        <v>0</v>
      </c>
      <c r="AD86">
        <f t="shared" si="42"/>
        <v>0</v>
      </c>
      <c r="AE86">
        <f t="shared" si="43"/>
        <v>0</v>
      </c>
      <c r="AF86">
        <f t="shared" si="44"/>
        <v>0</v>
      </c>
      <c r="AG86" s="45">
        <f t="shared" si="45"/>
        <v>0</v>
      </c>
      <c r="AH86" s="45">
        <v>0</v>
      </c>
    </row>
    <row r="87" spans="1:34" x14ac:dyDescent="0.2">
      <c r="A87">
        <v>56</v>
      </c>
      <c r="B87">
        <f t="shared" si="23"/>
        <v>28</v>
      </c>
      <c r="C87">
        <f t="shared" si="24"/>
        <v>28</v>
      </c>
      <c r="D87" s="43">
        <f>INDEX(Curves!$K$5:$K$34,C87)</f>
        <v>4.3291462322494922E-2</v>
      </c>
      <c r="E87">
        <f t="shared" si="25"/>
        <v>1</v>
      </c>
      <c r="F87" s="54">
        <f>Curves!W61</f>
        <v>0.4073505436873418</v>
      </c>
      <c r="G87" s="54">
        <f>Curves!X61</f>
        <v>1.2702464749720477E-2</v>
      </c>
      <c r="L87" s="44">
        <f>L86</f>
        <v>3.8098255352202313E-2</v>
      </c>
      <c r="M87" s="44">
        <f t="shared" si="26"/>
        <v>0.56978056442232716</v>
      </c>
      <c r="N87">
        <f t="shared" si="27"/>
        <v>9.9402833049107867E-2</v>
      </c>
      <c r="O87">
        <f t="shared" si="28"/>
        <v>15.441768616432608</v>
      </c>
      <c r="P87" s="43">
        <f>IF(E87=1,(1-N87-F87*M87)/O87,"")</f>
        <v>4.3291462322494909E-2</v>
      </c>
      <c r="Q87" s="45">
        <f t="shared" si="29"/>
        <v>0</v>
      </c>
      <c r="R87" s="45">
        <f t="shared" si="30"/>
        <v>0</v>
      </c>
      <c r="S87" s="45">
        <f t="shared" si="31"/>
        <v>0</v>
      </c>
      <c r="T87">
        <f t="shared" si="32"/>
        <v>0</v>
      </c>
      <c r="U87" s="44">
        <f t="shared" si="33"/>
        <v>0</v>
      </c>
      <c r="V87">
        <f t="shared" si="34"/>
        <v>0.98113116036493353</v>
      </c>
      <c r="W87" s="43">
        <f t="shared" si="35"/>
        <v>2.3566644335447084E-2</v>
      </c>
      <c r="X87" s="43">
        <f t="shared" si="36"/>
        <v>2.5404929499440954E-2</v>
      </c>
      <c r="Y87" s="43">
        <f t="shared" si="37"/>
        <v>4.8971573834888038E-2</v>
      </c>
      <c r="Z87" s="55">
        <f t="shared" si="38"/>
        <v>0</v>
      </c>
      <c r="AA87" s="41">
        <f t="shared" si="39"/>
        <v>1</v>
      </c>
      <c r="AB87">
        <f t="shared" si="40"/>
        <v>0</v>
      </c>
      <c r="AC87">
        <f t="shared" si="41"/>
        <v>0</v>
      </c>
      <c r="AD87">
        <f t="shared" si="42"/>
        <v>0</v>
      </c>
      <c r="AE87">
        <f t="shared" si="43"/>
        <v>0</v>
      </c>
      <c r="AF87">
        <f t="shared" si="44"/>
        <v>0</v>
      </c>
      <c r="AG87" s="45">
        <f t="shared" si="45"/>
        <v>0</v>
      </c>
      <c r="AH87" s="45">
        <f>IF(E87=1,ABS(P87-D87)*10000,0)</f>
        <v>1.3877787807814457E-13</v>
      </c>
    </row>
    <row r="88" spans="1:34" x14ac:dyDescent="0.2">
      <c r="A88">
        <v>57</v>
      </c>
      <c r="B88">
        <f t="shared" si="23"/>
        <v>28.5</v>
      </c>
      <c r="C88">
        <f t="shared" si="24"/>
        <v>29</v>
      </c>
      <c r="D88" s="43">
        <f>INDEX(Curves!$K$5:$K$34,C88)</f>
        <v>4.3291462322494922E-2</v>
      </c>
      <c r="E88">
        <f t="shared" si="25"/>
        <v>0</v>
      </c>
      <c r="F88" s="54">
        <f>Curves!W62</f>
        <v>0.4023503500784591</v>
      </c>
      <c r="G88" s="54">
        <f>Curves!X62</f>
        <v>1.2427461807620332E-2</v>
      </c>
      <c r="H88">
        <f>N87+D88*O87</f>
        <v>0.76789957730008473</v>
      </c>
      <c r="I88">
        <f>F89*M87*((D88*$B$5+1)-$B$4)</f>
        <v>0.14076382308242635</v>
      </c>
      <c r="J88">
        <f>M87*(F88*((D88*$B$5)-$B$4)+F89*$B$4)</f>
        <v>3.8366976835682992E-3</v>
      </c>
      <c r="K88">
        <f>H88+F88*M87*$B$4-1</f>
        <v>-0.14039985887462514</v>
      </c>
      <c r="L88" s="44">
        <f>IF(E88=1,-2*LN((-J88+SQRT(J88^2-4*I88*K88))/(2*I88)),L87)</f>
        <v>3.8098255352202313E-2</v>
      </c>
      <c r="M88" s="44">
        <f t="shared" si="26"/>
        <v>0.55902946632506456</v>
      </c>
      <c r="N88">
        <f t="shared" si="27"/>
        <v>0.10113311628237245</v>
      </c>
      <c r="O88">
        <f t="shared" si="28"/>
        <v>15.55423146717264</v>
      </c>
      <c r="P88" s="43"/>
      <c r="Q88" s="45">
        <f t="shared" si="29"/>
        <v>0</v>
      </c>
      <c r="R88" s="45">
        <f t="shared" si="30"/>
        <v>0</v>
      </c>
      <c r="S88" s="45">
        <f t="shared" si="31"/>
        <v>0</v>
      </c>
      <c r="T88">
        <f t="shared" si="32"/>
        <v>0</v>
      </c>
      <c r="U88" s="44">
        <f t="shared" si="33"/>
        <v>0</v>
      </c>
      <c r="V88">
        <f t="shared" si="34"/>
        <v>0.98113116036493342</v>
      </c>
      <c r="W88" s="43">
        <f t="shared" si="35"/>
        <v>2.3556066776353638E-2</v>
      </c>
      <c r="X88" s="43">
        <f t="shared" si="36"/>
        <v>2.4854923615240665E-2</v>
      </c>
      <c r="Y88" s="43">
        <f t="shared" si="37"/>
        <v>4.84109903915943E-2</v>
      </c>
      <c r="Z88" s="55">
        <f t="shared" si="38"/>
        <v>0</v>
      </c>
      <c r="AA88" s="41">
        <f t="shared" si="39"/>
        <v>1</v>
      </c>
      <c r="AB88">
        <f t="shared" si="40"/>
        <v>0</v>
      </c>
      <c r="AC88">
        <f t="shared" si="41"/>
        <v>0</v>
      </c>
      <c r="AD88">
        <f t="shared" si="42"/>
        <v>0</v>
      </c>
      <c r="AE88">
        <f t="shared" si="43"/>
        <v>0</v>
      </c>
      <c r="AF88">
        <f t="shared" si="44"/>
        <v>0</v>
      </c>
      <c r="AG88" s="45">
        <f t="shared" si="45"/>
        <v>0</v>
      </c>
      <c r="AH88" s="45">
        <v>0</v>
      </c>
    </row>
    <row r="89" spans="1:34" x14ac:dyDescent="0.2">
      <c r="A89">
        <v>58</v>
      </c>
      <c r="B89">
        <f t="shared" si="23"/>
        <v>29</v>
      </c>
      <c r="C89">
        <f t="shared" si="24"/>
        <v>29</v>
      </c>
      <c r="D89" s="43">
        <f>INDEX(Curves!$K$5:$K$34,C89)</f>
        <v>4.3291462322494922E-2</v>
      </c>
      <c r="E89">
        <f t="shared" si="25"/>
        <v>0</v>
      </c>
      <c r="F89" s="54">
        <f>Curves!W63</f>
        <v>0.3974115334249132</v>
      </c>
      <c r="G89" s="54">
        <f>Curves!X63</f>
        <v>1.2427461807620332E-2</v>
      </c>
      <c r="L89" s="44">
        <f>L88</f>
        <v>3.8098255352202313E-2</v>
      </c>
      <c r="M89" s="44">
        <f t="shared" si="26"/>
        <v>0.54848122897370011</v>
      </c>
      <c r="N89">
        <f t="shared" si="27"/>
        <v>0.10280991275466674</v>
      </c>
      <c r="O89">
        <f t="shared" si="28"/>
        <v>15.66321785030325</v>
      </c>
      <c r="P89" s="43" t="str">
        <f>IF(E89=1,(1-N89-F89*M89)/O89,"")</f>
        <v/>
      </c>
      <c r="Q89" s="45">
        <f t="shared" si="29"/>
        <v>0</v>
      </c>
      <c r="R89" s="45">
        <f t="shared" si="30"/>
        <v>0</v>
      </c>
      <c r="S89" s="45">
        <f t="shared" si="31"/>
        <v>0</v>
      </c>
      <c r="T89">
        <f t="shared" si="32"/>
        <v>0</v>
      </c>
      <c r="U89" s="44">
        <f t="shared" si="33"/>
        <v>0</v>
      </c>
      <c r="V89">
        <f t="shared" si="34"/>
        <v>0.98113116036493353</v>
      </c>
      <c r="W89" s="43">
        <f t="shared" si="35"/>
        <v>2.3556066776353499E-2</v>
      </c>
      <c r="X89" s="43">
        <f t="shared" si="36"/>
        <v>2.4854923615240665E-2</v>
      </c>
      <c r="Y89" s="43">
        <f t="shared" si="37"/>
        <v>4.8410990391594161E-2</v>
      </c>
      <c r="Z89" s="55">
        <f t="shared" si="38"/>
        <v>0</v>
      </c>
      <c r="AA89" s="41">
        <f t="shared" si="39"/>
        <v>1</v>
      </c>
      <c r="AB89">
        <f t="shared" si="40"/>
        <v>0</v>
      </c>
      <c r="AC89">
        <f t="shared" si="41"/>
        <v>0</v>
      </c>
      <c r="AD89">
        <f t="shared" si="42"/>
        <v>0</v>
      </c>
      <c r="AE89">
        <f t="shared" si="43"/>
        <v>0</v>
      </c>
      <c r="AF89">
        <f t="shared" si="44"/>
        <v>0</v>
      </c>
      <c r="AG89" s="45">
        <f t="shared" si="45"/>
        <v>0</v>
      </c>
      <c r="AH89" s="45">
        <f>IF(E89=1,ABS(P89-D89)*10000,0)</f>
        <v>0</v>
      </c>
    </row>
    <row r="90" spans="1:34" x14ac:dyDescent="0.2">
      <c r="A90">
        <v>59</v>
      </c>
      <c r="B90">
        <f t="shared" si="23"/>
        <v>29.5</v>
      </c>
      <c r="C90">
        <f t="shared" si="24"/>
        <v>30</v>
      </c>
      <c r="D90" s="43">
        <f>INDEX(Curves!$K$5:$K$34,C90)</f>
        <v>4.3291462322494922E-2</v>
      </c>
      <c r="E90">
        <f t="shared" si="25"/>
        <v>0</v>
      </c>
      <c r="F90" s="54">
        <f>Curves!W64</f>
        <v>0.3926409393702105</v>
      </c>
      <c r="G90" s="54">
        <f>Curves!X64</f>
        <v>1.2150016914575179E-2</v>
      </c>
      <c r="H90">
        <f>N89+D90*O89</f>
        <v>0.78089351817009978</v>
      </c>
      <c r="I90">
        <f>F91*M89*((D90*$B$5+1)-$B$4)</f>
        <v>0.13226819229287562</v>
      </c>
      <c r="J90">
        <f>M89*(F90*((D90*$B$5)-$B$4)+F91*$B$4)</f>
        <v>3.6274735183356535E-3</v>
      </c>
      <c r="K90">
        <f>H90+F90*M89*$B$4-1</f>
        <v>-0.13296400784143581</v>
      </c>
      <c r="L90" s="44">
        <f>IF(E90=1,-2*LN((-J90+SQRT(J90^2-4*I90*K90))/(2*I90)),L89)</f>
        <v>3.8098255352202313E-2</v>
      </c>
      <c r="M90" s="44">
        <f t="shared" si="26"/>
        <v>0.53813202462135112</v>
      </c>
      <c r="N90">
        <f t="shared" si="27"/>
        <v>0.10443532128212296</v>
      </c>
      <c r="O90">
        <f t="shared" si="28"/>
        <v>15.76886418212951</v>
      </c>
      <c r="P90" s="43"/>
      <c r="Q90" s="45">
        <f t="shared" si="29"/>
        <v>0</v>
      </c>
      <c r="R90" s="45">
        <f t="shared" si="30"/>
        <v>0</v>
      </c>
      <c r="S90" s="45">
        <f t="shared" si="31"/>
        <v>0</v>
      </c>
      <c r="T90">
        <f t="shared" si="32"/>
        <v>0</v>
      </c>
      <c r="U90" s="44">
        <f t="shared" si="33"/>
        <v>0</v>
      </c>
      <c r="V90">
        <f t="shared" si="34"/>
        <v>0.98113116036493342</v>
      </c>
      <c r="W90" s="43">
        <f t="shared" si="35"/>
        <v>2.3545395291427018E-2</v>
      </c>
      <c r="X90" s="43">
        <f t="shared" si="36"/>
        <v>2.4300033829150358E-2</v>
      </c>
      <c r="Y90" s="43">
        <f t="shared" si="37"/>
        <v>4.7845429120577376E-2</v>
      </c>
      <c r="Z90" s="55">
        <f t="shared" si="38"/>
        <v>0</v>
      </c>
      <c r="AA90" s="41">
        <f t="shared" si="39"/>
        <v>1</v>
      </c>
      <c r="AB90">
        <f t="shared" si="40"/>
        <v>0</v>
      </c>
      <c r="AC90">
        <f t="shared" si="41"/>
        <v>0</v>
      </c>
      <c r="AD90">
        <f t="shared" si="42"/>
        <v>0</v>
      </c>
      <c r="AE90">
        <f t="shared" si="43"/>
        <v>0</v>
      </c>
      <c r="AF90">
        <f t="shared" si="44"/>
        <v>0</v>
      </c>
      <c r="AG90" s="45">
        <f t="shared" si="45"/>
        <v>0</v>
      </c>
      <c r="AH90" s="45">
        <v>0</v>
      </c>
    </row>
    <row r="91" spans="1:34" x14ac:dyDescent="0.2">
      <c r="A91">
        <v>60</v>
      </c>
      <c r="B91">
        <f t="shared" si="23"/>
        <v>30</v>
      </c>
      <c r="C91">
        <f t="shared" si="24"/>
        <v>30</v>
      </c>
      <c r="D91" s="43">
        <f>INDEX(Curves!$K$5:$K$34,C91)</f>
        <v>4.3291462322494922E-2</v>
      </c>
      <c r="E91">
        <f t="shared" si="25"/>
        <v>0</v>
      </c>
      <c r="F91" s="54">
        <f>Curves!W65</f>
        <v>0.3879276123189051</v>
      </c>
      <c r="G91" s="54">
        <f>Curves!X65</f>
        <v>1.2150016914574957E-2</v>
      </c>
      <c r="L91" s="44">
        <f>L90</f>
        <v>3.8098255352202313E-2</v>
      </c>
      <c r="M91" s="44">
        <f t="shared" si="26"/>
        <v>0.52797809774627713</v>
      </c>
      <c r="N91">
        <f t="shared" si="27"/>
        <v>0.10601091672544624</v>
      </c>
      <c r="O91">
        <f t="shared" si="28"/>
        <v>15.871272823537206</v>
      </c>
      <c r="P91" s="43" t="str">
        <f>IF(E91=1,(1-N91-F91*M91)/O91,"")</f>
        <v/>
      </c>
      <c r="Q91" s="45">
        <f t="shared" si="29"/>
        <v>0</v>
      </c>
      <c r="R91" s="45">
        <f t="shared" si="30"/>
        <v>0</v>
      </c>
      <c r="S91" s="45">
        <f t="shared" si="31"/>
        <v>0</v>
      </c>
      <c r="T91">
        <f t="shared" si="32"/>
        <v>0</v>
      </c>
      <c r="U91" s="44">
        <f t="shared" si="33"/>
        <v>0</v>
      </c>
      <c r="V91">
        <f t="shared" si="34"/>
        <v>0.98113116036493342</v>
      </c>
      <c r="W91" s="43">
        <f t="shared" si="35"/>
        <v>2.3545395291427008E-2</v>
      </c>
      <c r="X91" s="43">
        <f t="shared" si="36"/>
        <v>2.4300033829149914E-2</v>
      </c>
      <c r="Y91" s="43">
        <f t="shared" si="37"/>
        <v>4.7845429120576918E-2</v>
      </c>
      <c r="Z91" s="55">
        <f t="shared" si="38"/>
        <v>0</v>
      </c>
      <c r="AA91" s="41">
        <f t="shared" si="39"/>
        <v>1</v>
      </c>
      <c r="AB91">
        <f t="shared" si="40"/>
        <v>0</v>
      </c>
      <c r="AC91">
        <f t="shared" si="41"/>
        <v>0</v>
      </c>
      <c r="AD91">
        <f t="shared" si="42"/>
        <v>0</v>
      </c>
      <c r="AE91">
        <f t="shared" si="43"/>
        <v>0</v>
      </c>
      <c r="AF91">
        <f t="shared" si="44"/>
        <v>0</v>
      </c>
      <c r="AG91" s="45">
        <f t="shared" si="45"/>
        <v>0</v>
      </c>
      <c r="AH91" s="45">
        <f>IF(E91=1,ABS(P91-D91)*10000,0)</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 &amp; Method</vt:lpstr>
      <vt:lpstr>Inputs</vt:lpstr>
      <vt:lpstr>Results</vt:lpstr>
      <vt:lpstr>Data Sourcing</vt:lpstr>
      <vt:lpstr>Curves</vt:lpstr>
      <vt:lpstr>Calc_Floating</vt:lpstr>
      <vt:lpstr>Calc_Fixed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Jesus Reyes</cp:lastModifiedBy>
  <cp:revision>0</cp:revision>
  <dcterms:created xsi:type="dcterms:W3CDTF">2026-10-26T21:27:52Z</dcterms:created>
  <dcterms:modified xsi:type="dcterms:W3CDTF">2026-10-26T23:57:06Z</dcterms:modified>
  <dc:language>en-US</dc:language>
</cp:coreProperties>
</file>